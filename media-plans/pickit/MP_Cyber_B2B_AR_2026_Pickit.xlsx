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P Cyber B2B" sheetId="1" state="visible" r:id="rId1"/>
    <sheet xmlns:r="http://schemas.openxmlformats.org/officeDocument/2006/relationships" name="BGT Diario" sheetId="2" state="visible" r:id="rId2"/>
    <sheet xmlns:r="http://schemas.openxmlformats.org/officeDocument/2006/relationships" name="Supuest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$&quot; #,##0"/>
    <numFmt numFmtId="167" formatCode="#,##0.0"/>
    <numFmt numFmtId="168" formatCode="ddd dd/mm"/>
  </numFmts>
  <fonts count="19">
    <font>
      <name val="Calibri"/>
      <family val="2"/>
      <color theme="1"/>
      <sz val="11"/>
      <scheme val="minor"/>
    </font>
    <font>
      <name val="Calibri"/>
      <b val="1"/>
      <color rgb="002FA37A"/>
      <sz val="12"/>
    </font>
    <font>
      <name val="Calibri"/>
      <b val="1"/>
      <color rgb="000A0A0B"/>
      <sz val="18"/>
    </font>
    <font>
      <name val="Calibri"/>
      <i val="1"/>
      <color rgb="006B6B6E"/>
      <sz val="9"/>
    </font>
    <font>
      <name val="Calibri"/>
      <b val="1"/>
      <color rgb="006B6B6E"/>
      <sz val="9"/>
    </font>
    <font>
      <name val="Calibri"/>
      <color rgb="001155CC"/>
      <sz val="10"/>
    </font>
    <font>
      <name val="Calibri"/>
      <color rgb="000A0A0B"/>
      <sz val="10"/>
    </font>
    <font>
      <name val="Calibri"/>
      <b val="1"/>
      <color rgb="00E71CA2"/>
      <sz val="10"/>
    </font>
    <font>
      <name val="Calibri"/>
      <b val="1"/>
      <color rgb="00FFFFFF"/>
      <sz val="12"/>
    </font>
    <font>
      <name val="Calibri"/>
      <b val="1"/>
      <color rgb="000A0A0B"/>
      <sz val="10"/>
    </font>
    <font>
      <name val="Calibri"/>
      <color rgb="006B6B6E"/>
      <sz val="10"/>
    </font>
    <font>
      <name val="Calibri"/>
      <b val="1"/>
      <color rgb="000A0A0B"/>
      <sz val="11"/>
    </font>
    <font>
      <name val="Calibri"/>
      <b val="1"/>
      <color rgb="00FFFFFF"/>
      <sz val="9"/>
    </font>
    <font>
      <name val="Calibri"/>
      <b val="1"/>
      <color rgb="000A0A0B"/>
      <sz val="9"/>
    </font>
    <font>
      <name val="Calibri"/>
      <b val="1"/>
      <color rgb="002FA37A"/>
      <sz val="10"/>
    </font>
    <font>
      <name val="Calibri"/>
      <b val="1"/>
      <color rgb="000A0A0B"/>
      <sz val="20"/>
    </font>
    <font>
      <name val="Calibri"/>
      <color rgb="006B6B6E"/>
      <sz val="9"/>
    </font>
    <font>
      <name val="Calibri"/>
      <color rgb="002FA37A"/>
      <sz val="10"/>
    </font>
    <font>
      <name val="Calibri"/>
      <b val="1"/>
      <color rgb="002FA37A"/>
      <sz val="14"/>
    </font>
  </fonts>
  <fills count="11">
    <fill>
      <patternFill/>
    </fill>
    <fill>
      <patternFill patternType="gray125"/>
    </fill>
    <fill>
      <patternFill patternType="solid">
        <fgColor rgb="00EAF7FB"/>
      </patternFill>
    </fill>
    <fill>
      <patternFill patternType="solid">
        <fgColor rgb="00FDEAF5"/>
      </patternFill>
    </fill>
    <fill>
      <patternFill patternType="solid">
        <fgColor rgb="000A0A0B"/>
      </patternFill>
    </fill>
    <fill>
      <patternFill patternType="solid">
        <fgColor rgb="0059D7A2"/>
      </patternFill>
    </fill>
    <fill>
      <patternFill patternType="solid">
        <fgColor rgb="00EAF9F3"/>
      </patternFill>
    </fill>
    <fill>
      <patternFill patternType="solid">
        <fgColor rgb="0095D6EA"/>
      </patternFill>
    </fill>
    <fill>
      <patternFill patternType="solid">
        <fgColor rgb="002FA37A"/>
      </patternFill>
    </fill>
    <fill>
      <patternFill patternType="solid">
        <fgColor rgb="00E71CA2"/>
      </patternFill>
    </fill>
    <fill>
      <patternFill patternType="solid">
        <fgColor rgb="00F7F7F8"/>
      </patternFill>
    </fill>
  </fills>
  <borders count="7">
    <border>
      <left/>
      <right/>
      <top/>
      <bottom/>
      <diagonal/>
    </border>
    <border>
      <left style="thin">
        <color rgb="00E3E3E5"/>
      </left>
      <right style="thin">
        <color rgb="00E3E3E5"/>
      </right>
      <top style="thin">
        <color rgb="00E3E3E5"/>
      </top>
      <bottom style="thin">
        <color rgb="00E3E3E5"/>
      </bottom>
    </border>
    <border>
      <left style="thin">
        <color rgb="00E3E3E5"/>
      </left>
      <right style="thin">
        <color rgb="00E3E3E5"/>
      </right>
      <top style="medium">
        <color rgb="0059D7A2"/>
      </top>
      <bottom style="thin">
        <color rgb="00E3E3E5"/>
      </bottom>
    </border>
    <border>
      <left/>
      <right/>
      <top style="thin">
        <color rgb="00E3E3E5"/>
      </top>
      <bottom/>
      <diagonal/>
    </border>
    <border>
      <left/>
      <right style="thin">
        <color rgb="00E3E3E5"/>
      </right>
      <top style="thin">
        <color rgb="00E3E3E5"/>
      </top>
      <bottom/>
      <diagonal/>
    </border>
    <border>
      <left/>
      <right/>
      <top style="thin">
        <color rgb="00E3E3E5"/>
      </top>
      <bottom style="thin">
        <color rgb="00E3E3E5"/>
      </bottom>
      <diagonal/>
    </border>
    <border>
      <left/>
      <right style="thin">
        <color rgb="00E3E3E5"/>
      </right>
      <top style="thin">
        <color rgb="00E3E3E5"/>
      </top>
      <bottom style="thin">
        <color rgb="00E3E3E5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0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2" borderId="0" applyAlignment="1" pivotButton="0" quotePrefix="0" xfId="0">
      <alignment horizontal="left" vertical="center" indent="1"/>
    </xf>
    <xf numFmtId="0" fontId="4" fillId="6" borderId="0" applyAlignment="1" pivotButton="0" quotePrefix="0" xfId="0">
      <alignment horizontal="left" vertical="center" indent="1"/>
    </xf>
    <xf numFmtId="0" fontId="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166" fontId="15" fillId="6" borderId="0" applyAlignment="1" pivotButton="0" quotePrefix="0" xfId="0">
      <alignment horizontal="left" vertical="center" indent="1"/>
    </xf>
    <xf numFmtId="166" fontId="15" fillId="3" borderId="0" applyAlignment="1" pivotButton="0" quotePrefix="0" xfId="0">
      <alignment horizontal="left" vertical="center" indent="1"/>
    </xf>
    <xf numFmtId="3" fontId="15" fillId="6" borderId="0" applyAlignment="1" pivotButton="0" quotePrefix="0" xfId="0">
      <alignment horizontal="left" vertical="center" indent="1"/>
    </xf>
    <xf numFmtId="3" fontId="15" fillId="2" borderId="0" applyAlignment="1" pivotButton="0" quotePrefix="0" xfId="0">
      <alignment horizontal="left" vertical="center" indent="1"/>
    </xf>
    <xf numFmtId="0" fontId="16" fillId="2" borderId="0" applyAlignment="1" pivotButton="0" quotePrefix="0" xfId="0">
      <alignment horizontal="left" vertical="center" indent="1"/>
    </xf>
    <xf numFmtId="0" fontId="16" fillId="6" borderId="0" applyAlignment="1" pivotButton="0" quotePrefix="0" xfId="0">
      <alignment horizontal="left" vertical="center" indent="1"/>
    </xf>
    <xf numFmtId="0" fontId="16" fillId="3" borderId="0" applyAlignment="1" pivotButton="0" quotePrefix="0" xfId="0">
      <alignment horizontal="left" vertical="center" indent="1"/>
    </xf>
    <xf numFmtId="0" fontId="8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9" fillId="5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9" fillId="0" borderId="1" applyAlignment="1" pivotButton="0" quotePrefix="0" xfId="0">
      <alignment horizontal="left" vertical="center" indent="1"/>
    </xf>
    <xf numFmtId="166" fontId="6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9" fontId="1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indent="1"/>
    </xf>
    <xf numFmtId="9" fontId="6" fillId="0" borderId="1" applyAlignment="1" pivotButton="0" quotePrefix="0" xfId="0">
      <alignment horizontal="right" vertical="center"/>
    </xf>
    <xf numFmtId="0" fontId="9" fillId="10" borderId="1" applyAlignment="1" pivotButton="0" quotePrefix="0" xfId="0">
      <alignment horizontal="left" vertical="center" indent="1"/>
    </xf>
    <xf numFmtId="3" fontId="6" fillId="10" borderId="1" applyAlignment="1" pivotButton="0" quotePrefix="0" xfId="0">
      <alignment horizontal="right" vertical="center"/>
    </xf>
    <xf numFmtId="3" fontId="9" fillId="10" borderId="1" applyAlignment="1" pivotButton="0" quotePrefix="0" xfId="0">
      <alignment horizontal="right" vertical="center"/>
    </xf>
    <xf numFmtId="9" fontId="17" fillId="10" borderId="1" applyAlignment="1" pivotButton="0" quotePrefix="0" xfId="0">
      <alignment horizontal="right" vertical="center"/>
    </xf>
    <xf numFmtId="0" fontId="6" fillId="10" borderId="1" applyAlignment="1" pivotButton="0" quotePrefix="0" xfId="0">
      <alignment horizontal="left" vertical="center" indent="1"/>
    </xf>
    <xf numFmtId="166" fontId="6" fillId="10" borderId="1" applyAlignment="1" pivotButton="0" quotePrefix="0" xfId="0">
      <alignment horizontal="right" vertical="center"/>
    </xf>
    <xf numFmtId="9" fontId="6" fillId="1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10" fontId="6" fillId="10" borderId="1" applyAlignment="1" pivotButton="0" quotePrefix="0" xfId="0">
      <alignment horizontal="right" vertical="center"/>
    </xf>
    <xf numFmtId="10" fontId="9" fillId="10" borderId="1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 indent="1"/>
    </xf>
    <xf numFmtId="166" fontId="14" fillId="6" borderId="1" applyAlignment="1" pivotButton="0" quotePrefix="0" xfId="0">
      <alignment horizontal="right" vertical="center"/>
    </xf>
    <xf numFmtId="9" fontId="9" fillId="6" borderId="1" applyAlignment="1" pivotButton="0" quotePrefix="0" xfId="0">
      <alignment horizontal="right" vertical="center"/>
    </xf>
    <xf numFmtId="0" fontId="0" fillId="6" borderId="2" pivotButton="0" quotePrefix="0" xfId="0"/>
    <xf numFmtId="167" fontId="6" fillId="0" borderId="1" applyAlignment="1" pivotButton="0" quotePrefix="0" xfId="0">
      <alignment horizontal="right" vertical="center"/>
    </xf>
    <xf numFmtId="167" fontId="9" fillId="0" borderId="1" applyAlignment="1" pivotButton="0" quotePrefix="0" xfId="0">
      <alignment horizontal="right" vertical="center"/>
    </xf>
    <xf numFmtId="0" fontId="0" fillId="0" borderId="5" pivotButton="0" quotePrefix="0" xfId="0"/>
    <xf numFmtId="0" fontId="9" fillId="0" borderId="1" applyAlignment="1" pivotButton="0" quotePrefix="0" xfId="0">
      <alignment horizontal="center" vertical="center"/>
    </xf>
    <xf numFmtId="167" fontId="6" fillId="10" borderId="1" applyAlignment="1" pivotButton="0" quotePrefix="0" xfId="0">
      <alignment horizontal="right" vertical="center"/>
    </xf>
    <xf numFmtId="167" fontId="9" fillId="10" borderId="1" applyAlignment="1" pivotButton="0" quotePrefix="0" xfId="0">
      <alignment horizontal="right" vertical="center"/>
    </xf>
    <xf numFmtId="0" fontId="9" fillId="1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indent="1"/>
    </xf>
    <xf numFmtId="0" fontId="5" fillId="2" borderId="1" applyAlignment="1" pivotButton="0" quotePrefix="0" xfId="0">
      <alignment horizontal="left" vertical="center" indent="1"/>
    </xf>
    <xf numFmtId="0" fontId="11" fillId="7" borderId="0" applyAlignment="1" pivotButton="0" quotePrefix="0" xfId="0">
      <alignment horizontal="left" vertical="center" indent="1"/>
    </xf>
    <xf numFmtId="0" fontId="0" fillId="7" borderId="0" pivotButton="0" quotePrefix="0" xfId="0"/>
    <xf numFmtId="0" fontId="12" fillId="4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9" fontId="5" fillId="2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right" vertical="center"/>
    </xf>
    <xf numFmtId="10" fontId="6" fillId="0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 indent="1"/>
    </xf>
    <xf numFmtId="10" fontId="5" fillId="2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right" vertical="center"/>
    </xf>
    <xf numFmtId="166" fontId="9" fillId="6" borderId="1" applyAlignment="1" pivotButton="0" quotePrefix="0" xfId="0">
      <alignment horizontal="right" vertical="center"/>
    </xf>
    <xf numFmtId="3" fontId="9" fillId="6" borderId="1" applyAlignment="1" pivotButton="0" quotePrefix="0" xfId="0">
      <alignment horizontal="right" vertical="center"/>
    </xf>
    <xf numFmtId="10" fontId="9" fillId="6" borderId="1" applyAlignment="1" pivotButton="0" quotePrefix="0" xfId="0">
      <alignment horizontal="right" vertical="center"/>
    </xf>
    <xf numFmtId="167" fontId="9" fillId="6" borderId="1" applyAlignment="1" pivotButton="0" quotePrefix="0" xfId="0">
      <alignment horizontal="right" vertical="center"/>
    </xf>
    <xf numFmtId="168" fontId="9" fillId="5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right" vertical="center"/>
    </xf>
    <xf numFmtId="166" fontId="10" fillId="1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left" vertical="center" indent="1"/>
    </xf>
    <xf numFmtId="165" fontId="7" fillId="3" borderId="1" applyAlignment="1" pivotButton="0" quotePrefix="0" xfId="0">
      <alignment horizontal="right" vertical="center"/>
    </xf>
    <xf numFmtId="165" fontId="5" fillId="2" borderId="1" applyAlignment="1" pivotButton="0" quotePrefix="0" xfId="0">
      <alignment horizontal="right" vertical="center"/>
    </xf>
    <xf numFmtId="165" fontId="9" fillId="6" borderId="1" applyAlignment="1" pivotButton="0" quotePrefix="0" xfId="0">
      <alignment horizontal="right" vertical="center"/>
    </xf>
    <xf numFmtId="166" fontId="7" fillId="3" borderId="1" applyAlignment="1" pivotButton="0" quotePrefix="0" xfId="0">
      <alignment horizontal="right" vertical="center"/>
    </xf>
    <xf numFmtId="3" fontId="7" fillId="3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ont>
        <b val="1"/>
        <color rgb="002FA37A"/>
      </font>
      <fill>
        <patternFill patternType="solid">
          <fgColor rgb="00EAF9F3"/>
        </patternFill>
      </fill>
    </dxf>
    <dxf>
      <font>
        <b val="1"/>
        <color rgb="00FFFFFF"/>
      </font>
      <fill>
        <patternFill patternType="solid">
          <fgColor rgb="00E71CA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Zenda</author>
  </authors>
  <commentList>
    <comment ref="I35" authorId="0" shapeId="0">
      <text>
        <t>Benchmark: AR_MX_H2_B2B_LinkedIn_Branding_2026, octubre 2026 (mismo objetivo).</t>
      </text>
    </comment>
    <comment ref="J35" authorId="0" shapeId="0">
      <text>
        <t>Benchmark: AR_MX_H2_B2B_LinkedIn_Branding_2026, octubre 2026 (mismo objetivo).</t>
      </text>
    </comment>
    <comment ref="I36" authorId="0" shapeId="0">
      <text>
        <t>Benchmark: AR_Hunting&amp;SameDay_H2_FB_Conversiones_2026, octubre 2026. Con objetivo tráfico el CPC suele bajar.</t>
      </text>
    </comment>
    <comment ref="J36" authorId="0" shapeId="0">
      <text>
        <t>Benchmark: AR_Hunting&amp;SameDay_H2_FB_Conversiones_2026, octubre 2026. Con objetivo tráfico el CPC suele bajar.</t>
      </text>
    </comment>
    <comment ref="I37" authorId="0" shapeId="0">
      <text>
        <t>Benchmark: AR_Hunting&amp;SameDay_H2_FB_Conversiones_2026, octubre 2026.</t>
      </text>
    </comment>
    <comment ref="J37" authorId="0" shapeId="0">
      <text>
        <t>Benchmark: AR_Hunting&amp;SameDay_H2_FB_Conversiones_2026, octubre 2026.</t>
      </text>
    </comment>
    <comment ref="I38" authorId="0" shapeId="0">
      <text>
        <t>Campaña nueva. Benchmark prestado de AR_Flex_SameDay_H2_GL_Search_2026 (mismo objetivo, conversiones B2B AR), octubre 2026. CPM calculado con CTR de 1 %.</t>
      </text>
    </comment>
    <comment ref="J38" authorId="0" shapeId="0">
      <text>
        <t>Campaña nueva. Benchmark prestado de AR_Flex_SameDay_H2_GL_Search_2026 (mismo objetivo, conversiones B2B AR), octubre 2026. CPM calculado con CTR de 1 %.</t>
      </text>
    </comment>
    <comment ref="I44" authorId="0" shapeId="0">
      <text>
        <t>Benchmark: AR_MX_H2_B2B_LinkedIn_Branding_2026, octubre 2026 (mismo objetivo).</t>
      </text>
    </comment>
    <comment ref="J44" authorId="0" shapeId="0">
      <text>
        <t>Benchmark: AR_MX_H2_B2B_LinkedIn_Branding_2026, octubre 2026 (mismo objetivo).</t>
      </text>
    </comment>
    <comment ref="I45" authorId="0" shapeId="0">
      <text>
        <t>Benchmark: AR_Hunting&amp;SameDay_H2_FB_Conversiones_2026, octubre 2026. Con objetivo tráfico el CPC suele bajar.</t>
      </text>
    </comment>
    <comment ref="J45" authorId="0" shapeId="0">
      <text>
        <t>Benchmark: AR_Hunting&amp;SameDay_H2_FB_Conversiones_2026, octubre 2026. Con objetivo tráfico el CPC suele bajar.</t>
      </text>
    </comment>
    <comment ref="I46" authorId="0" shapeId="0">
      <text>
        <t>Benchmark: AR_Hunting&amp;SameDay_H2_FB_Conversiones_2026, octubre 2026.</t>
      </text>
    </comment>
    <comment ref="J46" authorId="0" shapeId="0">
      <text>
        <t>Benchmark: AR_Hunting&amp;SameDay_H2_FB_Conversiones_2026, octubre 2026.</t>
      </text>
    </comment>
    <comment ref="I47" authorId="0" shapeId="0">
      <text>
        <t>Campaña nueva. Benchmark prestado de AR_Flex_SameDay_H2_GL_Search_2026 (mismo objetivo, conversiones B2B AR), octubre 2026. CPM calculado con CTR de 1 %.</t>
      </text>
    </comment>
    <comment ref="J47" authorId="0" shapeId="0">
      <text>
        <t>Campaña nueva. Benchmark prestado de AR_Flex_SameDay_H2_GL_Search_2026 (mismo objetivo, conversiones B2B AR), octubre 2026. CPM calculado con CTR de 1 %.</t>
      </text>
    </comment>
  </commentList>
</comments>
</file>

<file path=xl/comments/comment2.xml><?xml version="1.0" encoding="utf-8"?>
<comments xmlns="http://schemas.openxmlformats.org/spreadsheetml/2006/main">
  <authors>
    <author>Zenda</author>
  </authors>
  <commentList>
    <comment ref="C13" authorId="0" shapeId="0">
      <text>
        <t>Lanzamiento estimado: última semana de octubre o apenas estén listos los boost de LinkedIn.</t>
      </text>
    </comment>
    <comment ref="D19" authorId="0" shapeId="0">
      <text>
        <t>Monto de ejemplo: el cliente no definió presupuesto. Reemplazar cuando haya un número.</t>
      </text>
    </comment>
    <comment ref="D20" authorId="0" shapeId="0">
      <text>
        <t>Monto de ejemplo: el cliente no definió presupuesto. Reemplazar cuando haya un número.</t>
      </text>
    </comment>
    <comment ref="D23" authorId="0" shapeId="0">
      <text>
        <t>Pendiente: tomar el tamaño estimado del print de la audiencia guardada en LinkedIn.</t>
      </text>
    </comment>
    <comment ref="D24" authorId="0" shapeId="0">
      <text>
        <t>Tope de la audiencia que se puede alcanzar en 10 días. 40-60 % es razonable para un boost B2B.</t>
      </text>
    </comment>
    <comment ref="D26" authorId="0" shapeId="0">
      <text>
        <t>LinkedIn reparte las impresiones con al menos 2-3 vistas por persona en un flight corto.</t>
      </text>
    </comment>
    <comment ref="D29" authorId="0" shapeId="0">
      <text>
        <t>Las subastas se encarecen en la semana del Cyber, sobre todo en Meta y Google. Se aplica sobre los benchmarks de octubre.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59D7A2"/>
    <outlinePr summaryBelow="1" summaryRight="1"/>
    <pageSetUpPr fitToPage="1"/>
  </sheetPr>
  <dimension ref="B2:R48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2.6" customWidth="1" min="1" max="1"/>
    <col width="45" customWidth="1" min="2" max="2"/>
    <col width="12" customWidth="1" min="3" max="3"/>
    <col width="13" customWidth="1" min="4" max="4"/>
    <col width="26" customWidth="1" min="5" max="5"/>
    <col width="7" customWidth="1" min="6" max="6"/>
    <col width="13" customWidth="1" min="7" max="7"/>
    <col width="12" customWidth="1" min="8" max="8"/>
    <col width="13" customWidth="1" min="9" max="9"/>
    <col width="11" customWidth="1" min="10" max="10"/>
    <col width="9" customWidth="1" min="11" max="11"/>
    <col width="12" customWidth="1" min="12" max="12"/>
    <col width="10" customWidth="1" min="13" max="13"/>
    <col width="9" customWidth="1" min="14" max="14"/>
    <col width="11" customWidth="1" min="15" max="15"/>
    <col width="10" customWidth="1" min="16" max="16"/>
    <col width="11" customWidth="1" min="17" max="17"/>
    <col width="12" customWidth="1" min="18" max="18"/>
  </cols>
  <sheetData>
    <row r="2">
      <c r="B2" s="1" t="inlineStr">
        <is>
          <t>zenda.</t>
        </is>
      </c>
    </row>
    <row r="3" ht="28" customHeight="1">
      <c r="B3" s="2" t="inlineStr">
        <is>
          <t>pickit  |  Media Plan Cyber Monday B2B · Argentina 2026</t>
        </is>
      </c>
    </row>
    <row r="4">
      <c r="B4" s="3" t="inlineStr">
        <is>
          <t>Objetivo: presencia como aliado logístico durante el pico de ventas. Montos de ejemplo hasta que el cliente defina presupuesto.</t>
        </is>
      </c>
    </row>
    <row r="6" ht="18" customHeight="1">
      <c r="B6" s="4" t="inlineStr">
        <is>
          <t>FLIGHT</t>
        </is>
      </c>
      <c r="D6" s="5" t="inlineStr">
        <is>
          <t>INVERSIÓN CONSERVADOR</t>
        </is>
      </c>
      <c r="H6" s="6" t="inlineStr">
        <is>
          <t>INVERSIÓN ARRIESGADO</t>
        </is>
      </c>
      <c r="L6" s="5" t="inlineStr">
        <is>
          <t>IMPRESIONES (CONSERVADOR)</t>
        </is>
      </c>
      <c r="P6" s="4" t="inlineStr">
        <is>
          <t>ALCANCE LINKEDIN</t>
        </is>
      </c>
    </row>
    <row r="7" ht="32" customHeight="1">
      <c r="B7" s="7">
        <f>TEXT(Supuestos!$C$15,"dd/mm")&amp;" al "&amp;TEXT(Supuestos!$D$15,"dd/mm")</f>
        <v/>
      </c>
      <c r="D7" s="8">
        <f>G39</f>
        <v/>
      </c>
      <c r="H7" s="9">
        <f>G48</f>
        <v/>
      </c>
      <c r="L7" s="10">
        <f>L39</f>
        <v/>
      </c>
      <c r="P7" s="11">
        <f>O35</f>
        <v/>
      </c>
    </row>
    <row r="8" ht="16" customHeight="1">
      <c r="B8" s="12">
        <f>Supuestos!$E$15&amp;" días · pico del 02 al 04/11"</f>
        <v/>
      </c>
      <c r="D8" s="13" t="inlineStr">
        <is>
          <t>Escenario conservador</t>
        </is>
      </c>
      <c r="H8" s="14" t="inlineStr">
        <is>
          <t>Escenario arriesgado</t>
        </is>
      </c>
      <c r="L8" s="13" t="inlineStr">
        <is>
          <t>Todas las plataformas</t>
        </is>
      </c>
      <c r="P8" s="12" t="inlineStr">
        <is>
          <t>Audiencia B2B guardada</t>
        </is>
      </c>
    </row>
    <row r="11" ht="24" customHeight="1">
      <c r="B11" s="15" t="inlineStr">
        <is>
          <t>COMPARATIVO DE ESCENARIOS</t>
        </is>
      </c>
      <c r="C11" s="16" t="n"/>
      <c r="D11" s="16" t="n"/>
      <c r="E11" s="16" t="n"/>
      <c r="F11" s="16" t="n"/>
      <c r="G11" s="16" t="n"/>
      <c r="I11" s="15" t="inlineStr">
        <is>
          <t>INVERSIÓN POR MEDIO</t>
        </is>
      </c>
      <c r="J11" s="16" t="n"/>
      <c r="K11" s="16" t="n"/>
      <c r="L11" s="16" t="n"/>
      <c r="M11" s="16" t="n"/>
      <c r="N11" s="16" t="n"/>
    </row>
    <row r="12" ht="30" customHeight="1">
      <c r="B12" s="17" t="inlineStr">
        <is>
          <t>Indicador</t>
        </is>
      </c>
      <c r="C12" s="17" t="inlineStr">
        <is>
          <t>Conservador</t>
        </is>
      </c>
      <c r="D12" s="17" t="inlineStr">
        <is>
          <t>Arriesgado</t>
        </is>
      </c>
      <c r="E12" s="17" t="inlineStr">
        <is>
          <t>Diferencia</t>
        </is>
      </c>
      <c r="F12" s="17" t="inlineStr"/>
      <c r="G12" s="18" t="n"/>
      <c r="I12" s="17" t="inlineStr">
        <is>
          <t>Medio</t>
        </is>
      </c>
      <c r="J12" s="17" t="inlineStr">
        <is>
          <t>Conservador</t>
        </is>
      </c>
      <c r="K12" s="17" t="inlineStr">
        <is>
          <t>%</t>
        </is>
      </c>
      <c r="L12" s="17" t="inlineStr">
        <is>
          <t>Arriesgado</t>
        </is>
      </c>
      <c r="M12" s="17" t="inlineStr">
        <is>
          <t>%</t>
        </is>
      </c>
      <c r="N12" s="17" t="inlineStr"/>
    </row>
    <row r="13">
      <c r="B13" s="19" t="inlineStr">
        <is>
          <t>Inversión</t>
        </is>
      </c>
      <c r="C13" s="20">
        <f>G39</f>
        <v/>
      </c>
      <c r="D13" s="21">
        <f>G48</f>
        <v/>
      </c>
      <c r="E13" s="22">
        <f>IFERROR(D13/C13-1,"")</f>
        <v/>
      </c>
      <c r="F13" s="23" t="n"/>
      <c r="G13" s="18" t="n"/>
      <c r="I13" s="19" t="inlineStr">
        <is>
          <t>LinkedIn Ads</t>
        </is>
      </c>
      <c r="J13" s="20">
        <f>SUMIF($C$35:$C$38,I13,$G$35:$G$38)</f>
        <v/>
      </c>
      <c r="K13" s="24">
        <f>IFERROR(J13/$J$16,"")</f>
        <v/>
      </c>
      <c r="L13" s="20">
        <f>SUMIF($C$44:$C$47,I13,$G$44:$G$47)</f>
        <v/>
      </c>
      <c r="M13" s="24">
        <f>IFERROR(L13/$L$16,"")</f>
        <v/>
      </c>
      <c r="N13" s="23" t="n"/>
    </row>
    <row r="14">
      <c r="B14" s="25" t="inlineStr">
        <is>
          <t>Impresiones</t>
        </is>
      </c>
      <c r="C14" s="26">
        <f>L39</f>
        <v/>
      </c>
      <c r="D14" s="27">
        <f>L48</f>
        <v/>
      </c>
      <c r="E14" s="28">
        <f>IFERROR(D14/C14-1,"")</f>
        <v/>
      </c>
      <c r="F14" s="29" t="n"/>
      <c r="G14" s="18" t="n"/>
      <c r="I14" s="25" t="inlineStr">
        <is>
          <t>Meta Ads</t>
        </is>
      </c>
      <c r="J14" s="30">
        <f>SUMIF($C$35:$C$38,I14,$G$35:$G$38)</f>
        <v/>
      </c>
      <c r="K14" s="31">
        <f>IFERROR(J14/$J$16,"")</f>
        <v/>
      </c>
      <c r="L14" s="30">
        <f>SUMIF($C$44:$C$47,I14,$G$44:$G$47)</f>
        <v/>
      </c>
      <c r="M14" s="31">
        <f>IFERROR(L14/$L$16,"")</f>
        <v/>
      </c>
      <c r="N14" s="29" t="n"/>
    </row>
    <row r="15">
      <c r="B15" s="19" t="inlineStr">
        <is>
          <t>Clics</t>
        </is>
      </c>
      <c r="C15" s="32">
        <f>M39</f>
        <v/>
      </c>
      <c r="D15" s="33">
        <f>M48</f>
        <v/>
      </c>
      <c r="E15" s="22">
        <f>IFERROR(D15/C15-1,"")</f>
        <v/>
      </c>
      <c r="F15" s="23" t="n"/>
      <c r="G15" s="18" t="n"/>
      <c r="I15" s="19" t="inlineStr">
        <is>
          <t>Google Ads</t>
        </is>
      </c>
      <c r="J15" s="20">
        <f>SUMIF($C$35:$C$38,I15,$G$35:$G$38)</f>
        <v/>
      </c>
      <c r="K15" s="24">
        <f>IFERROR(J15/$J$16,"")</f>
        <v/>
      </c>
      <c r="L15" s="20">
        <f>SUMIF($C$44:$C$47,I15,$G$44:$G$47)</f>
        <v/>
      </c>
      <c r="M15" s="24">
        <f>IFERROR(L15/$L$16,"")</f>
        <v/>
      </c>
      <c r="N15" s="23" t="n"/>
    </row>
    <row r="16" ht="20" customHeight="1">
      <c r="B16" s="25" t="inlineStr">
        <is>
          <t>CTR</t>
        </is>
      </c>
      <c r="C16" s="34">
        <f>N39</f>
        <v/>
      </c>
      <c r="D16" s="35">
        <f>N48</f>
        <v/>
      </c>
      <c r="E16" s="28">
        <f>IFERROR(D16/C16-1,"")</f>
        <v/>
      </c>
      <c r="F16" s="29" t="n"/>
      <c r="G16" s="18" t="n"/>
      <c r="I16" s="36" t="inlineStr">
        <is>
          <t>TOTAL</t>
        </is>
      </c>
      <c r="J16" s="37">
        <f>SUM(J13:J15)</f>
        <v/>
      </c>
      <c r="K16" s="38">
        <f>SUM(K13:K15)</f>
        <v/>
      </c>
      <c r="L16" s="37">
        <f>SUM(L13:L15)</f>
        <v/>
      </c>
      <c r="M16" s="38">
        <f>SUM(M13:M15)</f>
        <v/>
      </c>
      <c r="N16" s="39" t="n"/>
    </row>
    <row r="17">
      <c r="B17" s="19" t="inlineStr">
        <is>
          <t>CPM promedio</t>
        </is>
      </c>
      <c r="C17" s="20">
        <f>I39</f>
        <v/>
      </c>
      <c r="D17" s="21">
        <f>I48</f>
        <v/>
      </c>
      <c r="E17" s="22">
        <f>IFERROR(D17/C17-1,"")</f>
        <v/>
      </c>
      <c r="F17" s="23" t="n"/>
      <c r="G17" s="18" t="n"/>
    </row>
    <row r="18" ht="24" customHeight="1">
      <c r="B18" s="25" t="inlineStr">
        <is>
          <t>Alcance LinkedIn</t>
        </is>
      </c>
      <c r="C18" s="26">
        <f>O35</f>
        <v/>
      </c>
      <c r="D18" s="27">
        <f>O44</f>
        <v/>
      </c>
      <c r="E18" s="28">
        <f>IFERROR(D18/C18-1,"")</f>
        <v/>
      </c>
      <c r="F18" s="29" t="n"/>
      <c r="G18" s="18" t="n"/>
      <c r="I18" s="15" t="inlineStr">
        <is>
          <t>CONTROLES</t>
        </is>
      </c>
      <c r="J18" s="16" t="n"/>
      <c r="K18" s="16" t="n"/>
      <c r="L18" s="16" t="n"/>
      <c r="M18" s="16" t="n"/>
      <c r="N18" s="16" t="n"/>
    </row>
    <row r="19">
      <c r="B19" s="19" t="inlineStr">
        <is>
          <t>Frecuencia LinkedIn</t>
        </is>
      </c>
      <c r="C19" s="40">
        <f>P35</f>
        <v/>
      </c>
      <c r="D19" s="41">
        <f>P44</f>
        <v/>
      </c>
      <c r="E19" s="22">
        <f>IFERROR(D19/C19-1,"")</f>
        <v/>
      </c>
      <c r="F19" s="23" t="n"/>
      <c r="G19" s="18" t="n"/>
      <c r="I19" s="23" t="inlineStr">
        <is>
          <t>Conservador = presupuesto</t>
        </is>
      </c>
      <c r="J19" s="42" t="n"/>
      <c r="K19" s="18" t="n"/>
      <c r="L19" s="43">
        <f>IF(ROUND(G39-Supuestos!$D$19,0)=0,"OK","REVISAR")</f>
        <v/>
      </c>
      <c r="M19" s="18" t="n"/>
    </row>
    <row r="20">
      <c r="B20" s="25" t="inlineStr">
        <is>
          <t>Conversiones estimadas (secundario)</t>
        </is>
      </c>
      <c r="C20" s="44">
        <f>Q39</f>
        <v/>
      </c>
      <c r="D20" s="45">
        <f>Q48</f>
        <v/>
      </c>
      <c r="E20" s="28">
        <f>IFERROR(D20/C20-1,"")</f>
        <v/>
      </c>
      <c r="F20" s="29" t="n"/>
      <c r="G20" s="18" t="n"/>
      <c r="I20" s="29" t="inlineStr">
        <is>
          <t>Arriesgado = presupuesto</t>
        </is>
      </c>
      <c r="J20" s="42" t="n"/>
      <c r="K20" s="18" t="n"/>
      <c r="L20" s="46">
        <f>IF(ROUND(G48-Supuestos!$D$20,0)=0,"OK","REVISAR")</f>
        <v/>
      </c>
      <c r="M20" s="18" t="n"/>
    </row>
    <row r="21">
      <c r="B21" s="3" t="inlineStr">
        <is>
          <t>Las conversiones son un indicador secundario: el objetivo de la campaña es presencia (alcance, frecuencia, clics).</t>
        </is>
      </c>
      <c r="I21" s="23" t="inlineStr">
        <is>
          <t>% de cada escenario = 100 %</t>
        </is>
      </c>
      <c r="J21" s="42" t="n"/>
      <c r="K21" s="18" t="n"/>
      <c r="L21" s="43">
        <f>IF(AND(ROUND(F39,4)=1,ROUND(F48,4)=1),"OK","REVISAR")</f>
        <v/>
      </c>
      <c r="M21" s="18" t="n"/>
    </row>
    <row r="22">
      <c r="I22" s="29" t="inlineStr">
        <is>
          <t>Curva diaria = 100 %</t>
        </is>
      </c>
      <c r="J22" s="42" t="n"/>
      <c r="K22" s="18" t="n"/>
      <c r="L22" s="46">
        <f>IF(ROUND(Supuestos!C35,4)=1,"OK","REVISAR")</f>
        <v/>
      </c>
      <c r="M22" s="18" t="n"/>
    </row>
    <row r="23" ht="24" customHeight="1">
      <c r="B23" s="15" t="inlineStr">
        <is>
          <t>MENSAJE CENTRAL</t>
        </is>
      </c>
      <c r="C23" s="16" t="n"/>
      <c r="D23" s="16" t="n"/>
      <c r="E23" s="16" t="n"/>
      <c r="F23" s="16" t="n"/>
      <c r="G23" s="16" t="n"/>
      <c r="I23" s="23" t="inlineStr">
        <is>
          <t>Frecuencia LinkedIn ≤ 10</t>
        </is>
      </c>
      <c r="J23" s="42" t="n"/>
      <c r="K23" s="18" t="n"/>
      <c r="L23" s="43">
        <f>IF(MAX(P35,P44)&lt;=10,"OK","REVISAR")</f>
        <v/>
      </c>
      <c r="M23" s="18" t="n"/>
    </row>
    <row r="24" ht="24" customHeight="1">
      <c r="B24" s="47" t="inlineStr">
        <is>
          <t>¿Tu logística aguanta el pico de ventas?</t>
        </is>
      </c>
    </row>
    <row r="25">
      <c r="B25" s="3" t="inlineStr">
        <is>
          <t>Sin mencionar "Cyber Monday": Pickit como aliado logístico de las empresas que venden mucho en la fecha.</t>
        </is>
      </c>
    </row>
    <row r="27">
      <c r="B27" s="48" t="inlineStr">
        <is>
          <t>Dato cargado a mano</t>
        </is>
      </c>
      <c r="C27" s="3" t="inlineStr">
        <is>
          <t>% de inversión y benchmarks de octubre. Cada benchmark tiene un comentario con su fuente.</t>
        </is>
      </c>
    </row>
    <row r="28">
      <c r="B28" s="3" t="inlineStr">
        <is>
          <t>Impresiones y clics usan los benchmarks con la suba por temporada de la hoja Supuestos.</t>
        </is>
      </c>
    </row>
    <row r="30" ht="26" customHeight="1">
      <c r="B30" s="15" t="inlineStr">
        <is>
          <t>DETALLE POR CAMPAÑA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</row>
    <row r="32" ht="22" customHeight="1">
      <c r="B32" s="49" t="inlineStr">
        <is>
          <t>Escenario conservador</t>
        </is>
      </c>
      <c r="C32" s="50" t="n"/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50" t="n"/>
      <c r="R32" s="50" t="n"/>
    </row>
    <row r="33" ht="18" customHeight="1">
      <c r="B33" s="51" t="inlineStr">
        <is>
          <t>CAMPAÑA</t>
        </is>
      </c>
      <c r="C33" s="42" t="n"/>
      <c r="D33" s="42" t="n"/>
      <c r="E33" s="18" t="n"/>
      <c r="F33" s="52" t="inlineStr">
        <is>
          <t>INVERSIÓN</t>
        </is>
      </c>
      <c r="G33" s="42" t="n"/>
      <c r="H33" s="18" t="n"/>
      <c r="I33" s="53" t="inlineStr">
        <is>
          <t>BENCHMARKS (OCT.)</t>
        </is>
      </c>
      <c r="J33" s="42" t="n"/>
      <c r="K33" s="18" t="n"/>
      <c r="L33" s="54" t="inlineStr">
        <is>
          <t>RESULTADOS ESTIMADOS</t>
        </is>
      </c>
      <c r="M33" s="42" t="n"/>
      <c r="N33" s="42" t="n"/>
      <c r="O33" s="42" t="n"/>
      <c r="P33" s="42" t="n"/>
      <c r="Q33" s="42" t="n"/>
      <c r="R33" s="18" t="n"/>
    </row>
    <row r="34" ht="30" customHeight="1">
      <c r="B34" s="17" t="inlineStr">
        <is>
          <t>Campaña</t>
        </is>
      </c>
      <c r="C34" s="17" t="inlineStr">
        <is>
          <t>Medio</t>
        </is>
      </c>
      <c r="D34" s="17" t="inlineStr">
        <is>
          <t>Objetivo</t>
        </is>
      </c>
      <c r="E34" s="17" t="inlineStr">
        <is>
          <t>Audiencia / señales</t>
        </is>
      </c>
      <c r="F34" s="17" t="inlineStr">
        <is>
          <t>%</t>
        </is>
      </c>
      <c r="G34" s="17" t="inlineStr">
        <is>
          <t>Inversión</t>
        </is>
      </c>
      <c r="H34" s="17" t="inlineStr">
        <is>
          <t>Inv. diaria</t>
        </is>
      </c>
      <c r="I34" s="17" t="inlineStr">
        <is>
          <t>CPM</t>
        </is>
      </c>
      <c r="J34" s="17" t="inlineStr">
        <is>
          <t>CPC</t>
        </is>
      </c>
      <c r="K34" s="17" t="inlineStr">
        <is>
          <t>CR</t>
        </is>
      </c>
      <c r="L34" s="17" t="inlineStr">
        <is>
          <t>Impresiones</t>
        </is>
      </c>
      <c r="M34" s="17" t="inlineStr">
        <is>
          <t>Clics</t>
        </is>
      </c>
      <c r="N34" s="17" t="inlineStr">
        <is>
          <t>CTR</t>
        </is>
      </c>
      <c r="O34" s="17" t="inlineStr">
        <is>
          <t>Alcance</t>
        </is>
      </c>
      <c r="P34" s="17" t="inlineStr">
        <is>
          <t>Frecuencia</t>
        </is>
      </c>
      <c r="Q34" s="17" t="inlineStr">
        <is>
          <t>Conversiones</t>
        </is>
      </c>
      <c r="R34" s="17" t="inlineStr">
        <is>
          <t>CPA</t>
        </is>
      </c>
    </row>
    <row r="35">
      <c r="B35" s="19" t="inlineStr">
        <is>
          <t>AR_B2B_LinkedIn_Boost_Awareness_Cyber2026</t>
        </is>
      </c>
      <c r="C35" s="23" t="inlineStr">
        <is>
          <t>LinkedIn Ads</t>
        </is>
      </c>
      <c r="D35" s="23" t="inlineStr">
        <is>
          <t>Reconocimiento</t>
        </is>
      </c>
      <c r="E35" s="55" t="inlineStr">
        <is>
          <t>Audiencia guardada B2B</t>
        </is>
      </c>
      <c r="F35" s="56" t="n">
        <v>0.3</v>
      </c>
      <c r="G35" s="20">
        <f>F35*Supuestos!$D$19</f>
        <v/>
      </c>
      <c r="H35" s="20">
        <f>IFERROR(G35/Supuestos!$E$15,"")</f>
        <v/>
      </c>
      <c r="I35" s="57" t="n">
        <v>10239</v>
      </c>
      <c r="J35" s="57" t="n">
        <v>2343</v>
      </c>
      <c r="K35" s="58" t="inlineStr">
        <is>
          <t>–</t>
        </is>
      </c>
      <c r="L35" s="32">
        <f>IFERROR(G35/(I35*(1+Supuestos!$D$29))*1000,"")</f>
        <v/>
      </c>
      <c r="M35" s="33">
        <f>IFERROR(G35/(J35*(1+Supuestos!$D$29)),"")</f>
        <v/>
      </c>
      <c r="N35" s="59">
        <f>IFERROR(M35/L35,"")</f>
        <v/>
      </c>
      <c r="O35" s="33">
        <f>MIN(Supuestos!$D$25,L35/Supuestos!$D$26)</f>
        <v/>
      </c>
      <c r="P35" s="41">
        <f>IFERROR(L35/O35,"")</f>
        <v/>
      </c>
      <c r="Q35" s="58" t="inlineStr">
        <is>
          <t>–</t>
        </is>
      </c>
      <c r="R35" s="58" t="inlineStr">
        <is>
          <t>–</t>
        </is>
      </c>
    </row>
    <row r="36">
      <c r="B36" s="25" t="inlineStr">
        <is>
          <t>AR_B2B_FB_BBDD_Trafico_Cyber2026</t>
        </is>
      </c>
      <c r="C36" s="29" t="inlineStr">
        <is>
          <t>Meta Ads</t>
        </is>
      </c>
      <c r="D36" s="29" t="inlineStr">
        <is>
          <t>Tráfico web</t>
        </is>
      </c>
      <c r="E36" s="60" t="inlineStr">
        <is>
          <t>Base de datos de clientes y leads</t>
        </is>
      </c>
      <c r="F36" s="56" t="n">
        <v>0.1</v>
      </c>
      <c r="G36" s="30">
        <f>F36*Supuestos!$D$19</f>
        <v/>
      </c>
      <c r="H36" s="30">
        <f>IFERROR(G36/Supuestos!$E$15,"")</f>
        <v/>
      </c>
      <c r="I36" s="57" t="n">
        <v>4500</v>
      </c>
      <c r="J36" s="57" t="n">
        <v>1030</v>
      </c>
      <c r="K36" s="61" t="n">
        <v>0.0163</v>
      </c>
      <c r="L36" s="26">
        <f>IFERROR(G36/(I36*(1+Supuestos!$D$29))*1000,"")</f>
        <v/>
      </c>
      <c r="M36" s="27">
        <f>IFERROR(G36/(J36*(1+Supuestos!$D$29)),"")</f>
        <v/>
      </c>
      <c r="N36" s="34">
        <f>IFERROR(M36/L36,"")</f>
        <v/>
      </c>
      <c r="O36" s="62" t="inlineStr">
        <is>
          <t>–</t>
        </is>
      </c>
      <c r="P36" s="62" t="inlineStr">
        <is>
          <t>–</t>
        </is>
      </c>
      <c r="Q36" s="44">
        <f>IFERROR(M36*K36,"")</f>
        <v/>
      </c>
      <c r="R36" s="30">
        <f>IFERROR(G36/Q36,"")</f>
        <v/>
      </c>
    </row>
    <row r="37">
      <c r="B37" s="19" t="inlineStr">
        <is>
          <t>AR_B2B_FB_Lookalike_Trafico_Cyber2026</t>
        </is>
      </c>
      <c r="C37" s="23" t="inlineStr">
        <is>
          <t>Meta Ads</t>
        </is>
      </c>
      <c r="D37" s="23" t="inlineStr">
        <is>
          <t>Tráfico web</t>
        </is>
      </c>
      <c r="E37" s="55" t="inlineStr">
        <is>
          <t>Similar 1-3 % de la base de datos</t>
        </is>
      </c>
      <c r="F37" s="56" t="n">
        <v>0.2</v>
      </c>
      <c r="G37" s="20">
        <f>F37*Supuestos!$D$19</f>
        <v/>
      </c>
      <c r="H37" s="20">
        <f>IFERROR(G37/Supuestos!$E$15,"")</f>
        <v/>
      </c>
      <c r="I37" s="57" t="n">
        <v>4500</v>
      </c>
      <c r="J37" s="57" t="n">
        <v>1030</v>
      </c>
      <c r="K37" s="61" t="n">
        <v>0.0163</v>
      </c>
      <c r="L37" s="32">
        <f>IFERROR(G37/(I37*(1+Supuestos!$D$29))*1000,"")</f>
        <v/>
      </c>
      <c r="M37" s="33">
        <f>IFERROR(G37/(J37*(1+Supuestos!$D$29)),"")</f>
        <v/>
      </c>
      <c r="N37" s="59">
        <f>IFERROR(M37/L37,"")</f>
        <v/>
      </c>
      <c r="O37" s="58" t="inlineStr">
        <is>
          <t>–</t>
        </is>
      </c>
      <c r="P37" s="58" t="inlineStr">
        <is>
          <t>–</t>
        </is>
      </c>
      <c r="Q37" s="40">
        <f>IFERROR(M37*K37,"")</f>
        <v/>
      </c>
      <c r="R37" s="20">
        <f>IFERROR(G37/Q37,"")</f>
        <v/>
      </c>
    </row>
    <row r="38">
      <c r="B38" s="25" t="inlineStr">
        <is>
          <t>AR_B2B_GL_PMax_AliadoLogistico_Cyber2026</t>
        </is>
      </c>
      <c r="C38" s="29" t="inlineStr">
        <is>
          <t>Google Ads</t>
        </is>
      </c>
      <c r="D38" s="29" t="inlineStr">
        <is>
          <t>Conversiones</t>
        </is>
      </c>
      <c r="E38" s="60" t="inlineStr">
        <is>
          <t>Señales: términos de búsqueda + remarketing BBDD</t>
        </is>
      </c>
      <c r="F38" s="56" t="n">
        <v>0.4</v>
      </c>
      <c r="G38" s="30">
        <f>F38*Supuestos!$D$19</f>
        <v/>
      </c>
      <c r="H38" s="30">
        <f>IFERROR(G38/Supuestos!$E$15,"")</f>
        <v/>
      </c>
      <c r="I38" s="57" t="n">
        <v>15960</v>
      </c>
      <c r="J38" s="57" t="n">
        <v>1596</v>
      </c>
      <c r="K38" s="61" t="n">
        <v>0.0046</v>
      </c>
      <c r="L38" s="26">
        <f>IFERROR(G38/(I38*(1+Supuestos!$D$29))*1000,"")</f>
        <v/>
      </c>
      <c r="M38" s="27">
        <f>IFERROR(G38/(J38*(1+Supuestos!$D$29)),"")</f>
        <v/>
      </c>
      <c r="N38" s="34">
        <f>IFERROR(M38/L38,"")</f>
        <v/>
      </c>
      <c r="O38" s="62" t="inlineStr">
        <is>
          <t>–</t>
        </is>
      </c>
      <c r="P38" s="62" t="inlineStr">
        <is>
          <t>–</t>
        </is>
      </c>
      <c r="Q38" s="44">
        <f>IFERROR(M38*K38,"")</f>
        <v/>
      </c>
      <c r="R38" s="30">
        <f>IFERROR(G38/Q38,"")</f>
        <v/>
      </c>
    </row>
    <row r="39" ht="20" customHeight="1">
      <c r="B39" s="36" t="inlineStr">
        <is>
          <t>Total escenario conservador</t>
        </is>
      </c>
      <c r="C39" s="39" t="n"/>
      <c r="D39" s="39" t="n"/>
      <c r="E39" s="39" t="n"/>
      <c r="F39" s="38">
        <f>SUM(F35:F38)</f>
        <v/>
      </c>
      <c r="G39" s="37">
        <f>SUM(G35:G38)</f>
        <v/>
      </c>
      <c r="H39" s="63">
        <f>SUM(H35:H38)</f>
        <v/>
      </c>
      <c r="I39" s="63">
        <f>IFERROR(G39/L39*1000,"")</f>
        <v/>
      </c>
      <c r="J39" s="63">
        <f>IFERROR(G39/M39,"")</f>
        <v/>
      </c>
      <c r="K39" s="39" t="n"/>
      <c r="L39" s="64">
        <f>SUM(L35:L38)</f>
        <v/>
      </c>
      <c r="M39" s="64">
        <f>SUM(M35:M38)</f>
        <v/>
      </c>
      <c r="N39" s="65">
        <f>IFERROR(M39/L39,"")</f>
        <v/>
      </c>
      <c r="O39" s="39" t="n"/>
      <c r="P39" s="39" t="n"/>
      <c r="Q39" s="66">
        <f>SUM(Q35:Q38)</f>
        <v/>
      </c>
      <c r="R39" s="63">
        <f>IFERROR(SUMIF(D35:D38,"&lt;&gt;Reconocimiento",G35:G38)/Q39,"")</f>
        <v/>
      </c>
    </row>
    <row r="41" ht="22" customHeight="1">
      <c r="B41" s="49" t="inlineStr">
        <is>
          <t>Escenario arriesgado</t>
        </is>
      </c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</row>
    <row r="42" ht="18" customHeight="1">
      <c r="B42" s="51" t="inlineStr">
        <is>
          <t>CAMPAÑA</t>
        </is>
      </c>
      <c r="C42" s="42" t="n"/>
      <c r="D42" s="42" t="n"/>
      <c r="E42" s="18" t="n"/>
      <c r="F42" s="52" t="inlineStr">
        <is>
          <t>INVERSIÓN</t>
        </is>
      </c>
      <c r="G42" s="42" t="n"/>
      <c r="H42" s="18" t="n"/>
      <c r="I42" s="53" t="inlineStr">
        <is>
          <t>BENCHMARKS (OCT.)</t>
        </is>
      </c>
      <c r="J42" s="42" t="n"/>
      <c r="K42" s="18" t="n"/>
      <c r="L42" s="54" t="inlineStr">
        <is>
          <t>RESULTADOS ESTIMADOS</t>
        </is>
      </c>
      <c r="M42" s="42" t="n"/>
      <c r="N42" s="42" t="n"/>
      <c r="O42" s="42" t="n"/>
      <c r="P42" s="42" t="n"/>
      <c r="Q42" s="42" t="n"/>
      <c r="R42" s="18" t="n"/>
    </row>
    <row r="43" ht="30" customHeight="1">
      <c r="B43" s="17" t="inlineStr">
        <is>
          <t>Campaña</t>
        </is>
      </c>
      <c r="C43" s="17" t="inlineStr">
        <is>
          <t>Medio</t>
        </is>
      </c>
      <c r="D43" s="17" t="inlineStr">
        <is>
          <t>Objetivo</t>
        </is>
      </c>
      <c r="E43" s="17" t="inlineStr">
        <is>
          <t>Audiencia / señales</t>
        </is>
      </c>
      <c r="F43" s="17" t="inlineStr">
        <is>
          <t>%</t>
        </is>
      </c>
      <c r="G43" s="17" t="inlineStr">
        <is>
          <t>Inversión</t>
        </is>
      </c>
      <c r="H43" s="17" t="inlineStr">
        <is>
          <t>Inv. diaria</t>
        </is>
      </c>
      <c r="I43" s="17" t="inlineStr">
        <is>
          <t>CPM</t>
        </is>
      </c>
      <c r="J43" s="17" t="inlineStr">
        <is>
          <t>CPC</t>
        </is>
      </c>
      <c r="K43" s="17" t="inlineStr">
        <is>
          <t>CR</t>
        </is>
      </c>
      <c r="L43" s="17" t="inlineStr">
        <is>
          <t>Impresiones</t>
        </is>
      </c>
      <c r="M43" s="17" t="inlineStr">
        <is>
          <t>Clics</t>
        </is>
      </c>
      <c r="N43" s="17" t="inlineStr">
        <is>
          <t>CTR</t>
        </is>
      </c>
      <c r="O43" s="17" t="inlineStr">
        <is>
          <t>Alcance</t>
        </is>
      </c>
      <c r="P43" s="17" t="inlineStr">
        <is>
          <t>Frecuencia</t>
        </is>
      </c>
      <c r="Q43" s="17" t="inlineStr">
        <is>
          <t>Conversiones</t>
        </is>
      </c>
      <c r="R43" s="17" t="inlineStr">
        <is>
          <t>CPA</t>
        </is>
      </c>
    </row>
    <row r="44">
      <c r="B44" s="19" t="inlineStr">
        <is>
          <t>AR_B2B_LinkedIn_Boost_Awareness_Cyber2026</t>
        </is>
      </c>
      <c r="C44" s="23" t="inlineStr">
        <is>
          <t>LinkedIn Ads</t>
        </is>
      </c>
      <c r="D44" s="23" t="inlineStr">
        <is>
          <t>Reconocimiento</t>
        </is>
      </c>
      <c r="E44" s="55" t="inlineStr">
        <is>
          <t>Audiencia guardada B2B</t>
        </is>
      </c>
      <c r="F44" s="56" t="n">
        <v>0.2</v>
      </c>
      <c r="G44" s="20">
        <f>F44*Supuestos!$D$20</f>
        <v/>
      </c>
      <c r="H44" s="20">
        <f>IFERROR(G44/Supuestos!$E$15,"")</f>
        <v/>
      </c>
      <c r="I44" s="57" t="n">
        <v>10239</v>
      </c>
      <c r="J44" s="57" t="n">
        <v>2343</v>
      </c>
      <c r="K44" s="58" t="inlineStr">
        <is>
          <t>–</t>
        </is>
      </c>
      <c r="L44" s="32">
        <f>IFERROR(G44/(I44*(1+Supuestos!$D$29))*1000,"")</f>
        <v/>
      </c>
      <c r="M44" s="33">
        <f>IFERROR(G44/(J44*(1+Supuestos!$D$29)),"")</f>
        <v/>
      </c>
      <c r="N44" s="59">
        <f>IFERROR(M44/L44,"")</f>
        <v/>
      </c>
      <c r="O44" s="33">
        <f>MIN(Supuestos!$D$25,L44/Supuestos!$D$26)</f>
        <v/>
      </c>
      <c r="P44" s="41">
        <f>IFERROR(L44/O44,"")</f>
        <v/>
      </c>
      <c r="Q44" s="58" t="inlineStr">
        <is>
          <t>–</t>
        </is>
      </c>
      <c r="R44" s="58" t="inlineStr">
        <is>
          <t>–</t>
        </is>
      </c>
    </row>
    <row r="45">
      <c r="B45" s="25" t="inlineStr">
        <is>
          <t>AR_B2B_FB_BBDD_Trafico_Cyber2026</t>
        </is>
      </c>
      <c r="C45" s="29" t="inlineStr">
        <is>
          <t>Meta Ads</t>
        </is>
      </c>
      <c r="D45" s="29" t="inlineStr">
        <is>
          <t>Tráfico web</t>
        </is>
      </c>
      <c r="E45" s="60" t="inlineStr">
        <is>
          <t>Base de datos de clientes y leads</t>
        </is>
      </c>
      <c r="F45" s="56" t="n">
        <v>0.1</v>
      </c>
      <c r="G45" s="30">
        <f>F45*Supuestos!$D$20</f>
        <v/>
      </c>
      <c r="H45" s="30">
        <f>IFERROR(G45/Supuestos!$E$15,"")</f>
        <v/>
      </c>
      <c r="I45" s="57" t="n">
        <v>4500</v>
      </c>
      <c r="J45" s="57" t="n">
        <v>1030</v>
      </c>
      <c r="K45" s="61" t="n">
        <v>0.0163</v>
      </c>
      <c r="L45" s="26">
        <f>IFERROR(G45/(I45*(1+Supuestos!$D$29))*1000,"")</f>
        <v/>
      </c>
      <c r="M45" s="27">
        <f>IFERROR(G45/(J45*(1+Supuestos!$D$29)),"")</f>
        <v/>
      </c>
      <c r="N45" s="34">
        <f>IFERROR(M45/L45,"")</f>
        <v/>
      </c>
      <c r="O45" s="62" t="inlineStr">
        <is>
          <t>–</t>
        </is>
      </c>
      <c r="P45" s="62" t="inlineStr">
        <is>
          <t>–</t>
        </is>
      </c>
      <c r="Q45" s="44">
        <f>IFERROR(M45*K45,"")</f>
        <v/>
      </c>
      <c r="R45" s="30">
        <f>IFERROR(G45/Q45,"")</f>
        <v/>
      </c>
    </row>
    <row r="46">
      <c r="B46" s="19" t="inlineStr">
        <is>
          <t>AR_B2B_FB_Lookalike_Trafico_Cyber2026</t>
        </is>
      </c>
      <c r="C46" s="23" t="inlineStr">
        <is>
          <t>Meta Ads</t>
        </is>
      </c>
      <c r="D46" s="23" t="inlineStr">
        <is>
          <t>Tráfico web</t>
        </is>
      </c>
      <c r="E46" s="55" t="inlineStr">
        <is>
          <t>Similar 1-3 % de la base de datos</t>
        </is>
      </c>
      <c r="F46" s="56" t="n">
        <v>0.3</v>
      </c>
      <c r="G46" s="20">
        <f>F46*Supuestos!$D$20</f>
        <v/>
      </c>
      <c r="H46" s="20">
        <f>IFERROR(G46/Supuestos!$E$15,"")</f>
        <v/>
      </c>
      <c r="I46" s="57" t="n">
        <v>4500</v>
      </c>
      <c r="J46" s="57" t="n">
        <v>1030</v>
      </c>
      <c r="K46" s="61" t="n">
        <v>0.0163</v>
      </c>
      <c r="L46" s="32">
        <f>IFERROR(G46/(I46*(1+Supuestos!$D$29))*1000,"")</f>
        <v/>
      </c>
      <c r="M46" s="33">
        <f>IFERROR(G46/(J46*(1+Supuestos!$D$29)),"")</f>
        <v/>
      </c>
      <c r="N46" s="59">
        <f>IFERROR(M46/L46,"")</f>
        <v/>
      </c>
      <c r="O46" s="58" t="inlineStr">
        <is>
          <t>–</t>
        </is>
      </c>
      <c r="P46" s="58" t="inlineStr">
        <is>
          <t>–</t>
        </is>
      </c>
      <c r="Q46" s="40">
        <f>IFERROR(M46*K46,"")</f>
        <v/>
      </c>
      <c r="R46" s="20">
        <f>IFERROR(G46/Q46,"")</f>
        <v/>
      </c>
    </row>
    <row r="47">
      <c r="B47" s="25" t="inlineStr">
        <is>
          <t>AR_B2B_GL_PMax_AliadoLogistico_Cyber2026</t>
        </is>
      </c>
      <c r="C47" s="29" t="inlineStr">
        <is>
          <t>Google Ads</t>
        </is>
      </c>
      <c r="D47" s="29" t="inlineStr">
        <is>
          <t>Conversiones</t>
        </is>
      </c>
      <c r="E47" s="60" t="inlineStr">
        <is>
          <t>Señales: términos de búsqueda + remarketing BBDD</t>
        </is>
      </c>
      <c r="F47" s="56" t="n">
        <v>0.4</v>
      </c>
      <c r="G47" s="30">
        <f>F47*Supuestos!$D$20</f>
        <v/>
      </c>
      <c r="H47" s="30">
        <f>IFERROR(G47/Supuestos!$E$15,"")</f>
        <v/>
      </c>
      <c r="I47" s="57" t="n">
        <v>15960</v>
      </c>
      <c r="J47" s="57" t="n">
        <v>1596</v>
      </c>
      <c r="K47" s="61" t="n">
        <v>0.0046</v>
      </c>
      <c r="L47" s="26">
        <f>IFERROR(G47/(I47*(1+Supuestos!$D$29))*1000,"")</f>
        <v/>
      </c>
      <c r="M47" s="27">
        <f>IFERROR(G47/(J47*(1+Supuestos!$D$29)),"")</f>
        <v/>
      </c>
      <c r="N47" s="34">
        <f>IFERROR(M47/L47,"")</f>
        <v/>
      </c>
      <c r="O47" s="62" t="inlineStr">
        <is>
          <t>–</t>
        </is>
      </c>
      <c r="P47" s="62" t="inlineStr">
        <is>
          <t>–</t>
        </is>
      </c>
      <c r="Q47" s="44">
        <f>IFERROR(M47*K47,"")</f>
        <v/>
      </c>
      <c r="R47" s="30">
        <f>IFERROR(G47/Q47,"")</f>
        <v/>
      </c>
    </row>
    <row r="48" ht="20" customHeight="1">
      <c r="B48" s="36" t="inlineStr">
        <is>
          <t>Total escenario arriesgado</t>
        </is>
      </c>
      <c r="C48" s="39" t="n"/>
      <c r="D48" s="39" t="n"/>
      <c r="E48" s="39" t="n"/>
      <c r="F48" s="38">
        <f>SUM(F44:F47)</f>
        <v/>
      </c>
      <c r="G48" s="37">
        <f>SUM(G44:G47)</f>
        <v/>
      </c>
      <c r="H48" s="63">
        <f>SUM(H44:H47)</f>
        <v/>
      </c>
      <c r="I48" s="63">
        <f>IFERROR(G48/L48*1000,"")</f>
        <v/>
      </c>
      <c r="J48" s="63">
        <f>IFERROR(G48/M48,"")</f>
        <v/>
      </c>
      <c r="K48" s="39" t="n"/>
      <c r="L48" s="64">
        <f>SUM(L44:L47)</f>
        <v/>
      </c>
      <c r="M48" s="64">
        <f>SUM(M44:M47)</f>
        <v/>
      </c>
      <c r="N48" s="65">
        <f>IFERROR(M48/L48,"")</f>
        <v/>
      </c>
      <c r="O48" s="39" t="n"/>
      <c r="P48" s="39" t="n"/>
      <c r="Q48" s="66">
        <f>SUM(Q44:Q47)</f>
        <v/>
      </c>
      <c r="R48" s="63">
        <f>IFERROR(SUMIF(D44:D47,"&lt;&gt;Reconocimiento",G44:G47)/Q48,"")</f>
        <v/>
      </c>
    </row>
  </sheetData>
  <mergeCells count="42">
    <mergeCell ref="F42:H42"/>
    <mergeCell ref="P8:R8"/>
    <mergeCell ref="I22:K22"/>
    <mergeCell ref="F33:H33"/>
    <mergeCell ref="F16:G16"/>
    <mergeCell ref="F19:G19"/>
    <mergeCell ref="B6"/>
    <mergeCell ref="B33:E33"/>
    <mergeCell ref="L8:N8"/>
    <mergeCell ref="L19:M19"/>
    <mergeCell ref="D7:F7"/>
    <mergeCell ref="I21:K21"/>
    <mergeCell ref="H7:J7"/>
    <mergeCell ref="I33:K33"/>
    <mergeCell ref="P7:R7"/>
    <mergeCell ref="F12:G12"/>
    <mergeCell ref="I42:K42"/>
    <mergeCell ref="F15:G15"/>
    <mergeCell ref="I23:K23"/>
    <mergeCell ref="B7"/>
    <mergeCell ref="F18:G18"/>
    <mergeCell ref="F20:G20"/>
    <mergeCell ref="L23:M23"/>
    <mergeCell ref="I20:K20"/>
    <mergeCell ref="D8:F8"/>
    <mergeCell ref="L6:N6"/>
    <mergeCell ref="F17:G17"/>
    <mergeCell ref="I19:K19"/>
    <mergeCell ref="L20:M20"/>
    <mergeCell ref="H8:J8"/>
    <mergeCell ref="F13:G13"/>
    <mergeCell ref="B42:E42"/>
    <mergeCell ref="L22:M22"/>
    <mergeCell ref="L42:R42"/>
    <mergeCell ref="L7:N7"/>
    <mergeCell ref="L33:R33"/>
    <mergeCell ref="B8"/>
    <mergeCell ref="L21:M21"/>
    <mergeCell ref="F14:G14"/>
    <mergeCell ref="D6:F6"/>
    <mergeCell ref="P6:R6"/>
    <mergeCell ref="H6:J6"/>
  </mergeCells>
  <conditionalFormatting sqref="K13:K15">
    <cfRule type="dataBar" priority="1">
      <dataBar>
        <cfvo type="num" val="0"/>
        <cfvo type="num" val="1"/>
        <color rgb="0059D7A2"/>
      </dataBar>
    </cfRule>
  </conditionalFormatting>
  <conditionalFormatting sqref="M13:M15">
    <cfRule type="dataBar" priority="2">
      <dataBar>
        <cfvo type="num" val="0"/>
        <cfvo type="num" val="1"/>
        <color rgb="00E71CA2"/>
      </dataBar>
    </cfRule>
  </conditionalFormatting>
  <conditionalFormatting sqref="L19:M23">
    <cfRule type="cellIs" priority="3" operator="equal" dxfId="0">
      <formula>"OK"</formula>
    </cfRule>
    <cfRule type="cellIs" priority="4" operator="equal" dxfId="1">
      <formula>"REVISAR"</formula>
    </cfRule>
  </conditionalFormatting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59D7A2"/>
    <outlinePr summaryBelow="1" summaryRight="1"/>
    <pageSetUpPr fitToPage="1"/>
  </sheetPr>
  <dimension ref="B2:N20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2.6" customWidth="1" min="1" max="1"/>
    <col width="40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" t="inlineStr">
        <is>
          <t>zenda.</t>
        </is>
      </c>
    </row>
    <row r="3" ht="28" customHeight="1">
      <c r="B3" s="2" t="inlineStr">
        <is>
          <t>Inversión diaria  |  Cyber B2B Argentina</t>
        </is>
      </c>
    </row>
    <row r="4">
      <c r="B4" s="3" t="inlineStr">
        <is>
          <t>Inversión de cada campaña × curva diaria de Supuestos. Los tres días del pico concentran el 45 %.</t>
        </is>
      </c>
    </row>
    <row r="6" ht="24" customHeight="1">
      <c r="B6" s="15" t="inlineStr">
        <is>
          <t>ESCENARIO CONSERVADOR</t>
        </is>
      </c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</row>
    <row r="7" ht="30" customHeight="1">
      <c r="B7" s="17" t="inlineStr">
        <is>
          <t>Campaña</t>
        </is>
      </c>
      <c r="C7" s="17" t="inlineStr">
        <is>
          <t>Inversión</t>
        </is>
      </c>
      <c r="D7" s="67">
        <f>Supuestos!C33</f>
        <v/>
      </c>
      <c r="E7" s="67">
        <f>Supuestos!D33</f>
        <v/>
      </c>
      <c r="F7" s="67">
        <f>Supuestos!E33</f>
        <v/>
      </c>
      <c r="G7" s="67">
        <f>Supuestos!F33</f>
        <v/>
      </c>
      <c r="H7" s="67">
        <f>Supuestos!G33</f>
        <v/>
      </c>
      <c r="I7" s="67">
        <f>Supuestos!H33</f>
        <v/>
      </c>
      <c r="J7" s="67">
        <f>Supuestos!I33</f>
        <v/>
      </c>
      <c r="K7" s="67">
        <f>Supuestos!J33</f>
        <v/>
      </c>
      <c r="L7" s="67">
        <f>Supuestos!K33</f>
        <v/>
      </c>
      <c r="M7" s="67">
        <f>Supuestos!L33</f>
        <v/>
      </c>
      <c r="N7" s="17" t="inlineStr">
        <is>
          <t>Control</t>
        </is>
      </c>
    </row>
    <row r="8">
      <c r="B8" s="19">
        <f>'MP Cyber B2B'!B35</f>
        <v/>
      </c>
      <c r="C8" s="20">
        <f>'MP Cyber B2B'!G35</f>
        <v/>
      </c>
      <c r="D8" s="20">
        <f>$C8*Supuestos!C$34</f>
        <v/>
      </c>
      <c r="E8" s="20">
        <f>$C8*Supuestos!D$34</f>
        <v/>
      </c>
      <c r="F8" s="20">
        <f>$C8*Supuestos!E$34</f>
        <v/>
      </c>
      <c r="G8" s="20">
        <f>$C8*Supuestos!F$34</f>
        <v/>
      </c>
      <c r="H8" s="20">
        <f>$C8*Supuestos!G$34</f>
        <v/>
      </c>
      <c r="I8" s="20">
        <f>$C8*Supuestos!H$34</f>
        <v/>
      </c>
      <c r="J8" s="20">
        <f>$C8*Supuestos!I$34</f>
        <v/>
      </c>
      <c r="K8" s="20">
        <f>$C8*Supuestos!J$34</f>
        <v/>
      </c>
      <c r="L8" s="20">
        <f>$C8*Supuestos!K$34</f>
        <v/>
      </c>
      <c r="M8" s="20">
        <f>$C8*Supuestos!L$34</f>
        <v/>
      </c>
      <c r="N8" s="68">
        <f>SUM(D8:M8)-C8</f>
        <v/>
      </c>
    </row>
    <row r="9">
      <c r="B9" s="25">
        <f>'MP Cyber B2B'!B36</f>
        <v/>
      </c>
      <c r="C9" s="30">
        <f>'MP Cyber B2B'!G36</f>
        <v/>
      </c>
      <c r="D9" s="30">
        <f>$C9*Supuestos!C$34</f>
        <v/>
      </c>
      <c r="E9" s="30">
        <f>$C9*Supuestos!D$34</f>
        <v/>
      </c>
      <c r="F9" s="30">
        <f>$C9*Supuestos!E$34</f>
        <v/>
      </c>
      <c r="G9" s="30">
        <f>$C9*Supuestos!F$34</f>
        <v/>
      </c>
      <c r="H9" s="30">
        <f>$C9*Supuestos!G$34</f>
        <v/>
      </c>
      <c r="I9" s="30">
        <f>$C9*Supuestos!H$34</f>
        <v/>
      </c>
      <c r="J9" s="30">
        <f>$C9*Supuestos!I$34</f>
        <v/>
      </c>
      <c r="K9" s="30">
        <f>$C9*Supuestos!J$34</f>
        <v/>
      </c>
      <c r="L9" s="30">
        <f>$C9*Supuestos!K$34</f>
        <v/>
      </c>
      <c r="M9" s="30">
        <f>$C9*Supuestos!L$34</f>
        <v/>
      </c>
      <c r="N9" s="69">
        <f>SUM(D9:M9)-C9</f>
        <v/>
      </c>
    </row>
    <row r="10">
      <c r="B10" s="19">
        <f>'MP Cyber B2B'!B37</f>
        <v/>
      </c>
      <c r="C10" s="20">
        <f>'MP Cyber B2B'!G37</f>
        <v/>
      </c>
      <c r="D10" s="20">
        <f>$C10*Supuestos!C$34</f>
        <v/>
      </c>
      <c r="E10" s="20">
        <f>$C10*Supuestos!D$34</f>
        <v/>
      </c>
      <c r="F10" s="20">
        <f>$C10*Supuestos!E$34</f>
        <v/>
      </c>
      <c r="G10" s="20">
        <f>$C10*Supuestos!F$34</f>
        <v/>
      </c>
      <c r="H10" s="20">
        <f>$C10*Supuestos!G$34</f>
        <v/>
      </c>
      <c r="I10" s="20">
        <f>$C10*Supuestos!H$34</f>
        <v/>
      </c>
      <c r="J10" s="20">
        <f>$C10*Supuestos!I$34</f>
        <v/>
      </c>
      <c r="K10" s="20">
        <f>$C10*Supuestos!J$34</f>
        <v/>
      </c>
      <c r="L10" s="20">
        <f>$C10*Supuestos!K$34</f>
        <v/>
      </c>
      <c r="M10" s="20">
        <f>$C10*Supuestos!L$34</f>
        <v/>
      </c>
      <c r="N10" s="68">
        <f>SUM(D10:M10)-C10</f>
        <v/>
      </c>
    </row>
    <row r="11">
      <c r="B11" s="25">
        <f>'MP Cyber B2B'!B38</f>
        <v/>
      </c>
      <c r="C11" s="30">
        <f>'MP Cyber B2B'!G38</f>
        <v/>
      </c>
      <c r="D11" s="30">
        <f>$C11*Supuestos!C$34</f>
        <v/>
      </c>
      <c r="E11" s="30">
        <f>$C11*Supuestos!D$34</f>
        <v/>
      </c>
      <c r="F11" s="30">
        <f>$C11*Supuestos!E$34</f>
        <v/>
      </c>
      <c r="G11" s="30">
        <f>$C11*Supuestos!F$34</f>
        <v/>
      </c>
      <c r="H11" s="30">
        <f>$C11*Supuestos!G$34</f>
        <v/>
      </c>
      <c r="I11" s="30">
        <f>$C11*Supuestos!H$34</f>
        <v/>
      </c>
      <c r="J11" s="30">
        <f>$C11*Supuestos!I$34</f>
        <v/>
      </c>
      <c r="K11" s="30">
        <f>$C11*Supuestos!J$34</f>
        <v/>
      </c>
      <c r="L11" s="30">
        <f>$C11*Supuestos!K$34</f>
        <v/>
      </c>
      <c r="M11" s="30">
        <f>$C11*Supuestos!L$34</f>
        <v/>
      </c>
      <c r="N11" s="69">
        <f>SUM(D11:M11)-C11</f>
        <v/>
      </c>
    </row>
    <row r="12" ht="20" customHeight="1">
      <c r="B12" s="36" t="inlineStr">
        <is>
          <t>Total conservador</t>
        </is>
      </c>
      <c r="C12" s="37">
        <f>SUM(C8:C11)</f>
        <v/>
      </c>
      <c r="D12" s="63">
        <f>SUM(D8:D11)</f>
        <v/>
      </c>
      <c r="E12" s="63">
        <f>SUM(E8:E11)</f>
        <v/>
      </c>
      <c r="F12" s="63">
        <f>SUM(F8:F11)</f>
        <v/>
      </c>
      <c r="G12" s="63">
        <f>SUM(G8:G11)</f>
        <v/>
      </c>
      <c r="H12" s="63">
        <f>SUM(H8:H11)</f>
        <v/>
      </c>
      <c r="I12" s="63">
        <f>SUM(I8:I11)</f>
        <v/>
      </c>
      <c r="J12" s="63">
        <f>SUM(J8:J11)</f>
        <v/>
      </c>
      <c r="K12" s="63">
        <f>SUM(K8:K11)</f>
        <v/>
      </c>
      <c r="L12" s="63">
        <f>SUM(L8:L11)</f>
        <v/>
      </c>
      <c r="M12" s="63">
        <f>SUM(M8:M11)</f>
        <v/>
      </c>
      <c r="N12" s="63">
        <f>SUM(N8:N11)</f>
        <v/>
      </c>
    </row>
    <row r="14" ht="24" customHeight="1">
      <c r="B14" s="15" t="inlineStr">
        <is>
          <t>ESCENARIO ARRIESGADO</t>
        </is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</row>
    <row r="15" ht="30" customHeight="1">
      <c r="B15" s="17" t="inlineStr">
        <is>
          <t>Campaña</t>
        </is>
      </c>
      <c r="C15" s="17" t="inlineStr">
        <is>
          <t>Inversión</t>
        </is>
      </c>
      <c r="D15" s="67">
        <f>Supuestos!C33</f>
        <v/>
      </c>
      <c r="E15" s="67">
        <f>Supuestos!D33</f>
        <v/>
      </c>
      <c r="F15" s="67">
        <f>Supuestos!E33</f>
        <v/>
      </c>
      <c r="G15" s="67">
        <f>Supuestos!F33</f>
        <v/>
      </c>
      <c r="H15" s="67">
        <f>Supuestos!G33</f>
        <v/>
      </c>
      <c r="I15" s="67">
        <f>Supuestos!H33</f>
        <v/>
      </c>
      <c r="J15" s="67">
        <f>Supuestos!I33</f>
        <v/>
      </c>
      <c r="K15" s="67">
        <f>Supuestos!J33</f>
        <v/>
      </c>
      <c r="L15" s="67">
        <f>Supuestos!K33</f>
        <v/>
      </c>
      <c r="M15" s="67">
        <f>Supuestos!L33</f>
        <v/>
      </c>
      <c r="N15" s="17" t="inlineStr">
        <is>
          <t>Control</t>
        </is>
      </c>
    </row>
    <row r="16">
      <c r="B16" s="19">
        <f>'MP Cyber B2B'!B44</f>
        <v/>
      </c>
      <c r="C16" s="20">
        <f>'MP Cyber B2B'!G44</f>
        <v/>
      </c>
      <c r="D16" s="20">
        <f>$C16*Supuestos!C$34</f>
        <v/>
      </c>
      <c r="E16" s="20">
        <f>$C16*Supuestos!D$34</f>
        <v/>
      </c>
      <c r="F16" s="20">
        <f>$C16*Supuestos!E$34</f>
        <v/>
      </c>
      <c r="G16" s="20">
        <f>$C16*Supuestos!F$34</f>
        <v/>
      </c>
      <c r="H16" s="20">
        <f>$C16*Supuestos!G$34</f>
        <v/>
      </c>
      <c r="I16" s="20">
        <f>$C16*Supuestos!H$34</f>
        <v/>
      </c>
      <c r="J16" s="20">
        <f>$C16*Supuestos!I$34</f>
        <v/>
      </c>
      <c r="K16" s="20">
        <f>$C16*Supuestos!J$34</f>
        <v/>
      </c>
      <c r="L16" s="20">
        <f>$C16*Supuestos!K$34</f>
        <v/>
      </c>
      <c r="M16" s="20">
        <f>$C16*Supuestos!L$34</f>
        <v/>
      </c>
      <c r="N16" s="68">
        <f>SUM(D16:M16)-C16</f>
        <v/>
      </c>
    </row>
    <row r="17">
      <c r="B17" s="25">
        <f>'MP Cyber B2B'!B45</f>
        <v/>
      </c>
      <c r="C17" s="30">
        <f>'MP Cyber B2B'!G45</f>
        <v/>
      </c>
      <c r="D17" s="30">
        <f>$C17*Supuestos!C$34</f>
        <v/>
      </c>
      <c r="E17" s="30">
        <f>$C17*Supuestos!D$34</f>
        <v/>
      </c>
      <c r="F17" s="30">
        <f>$C17*Supuestos!E$34</f>
        <v/>
      </c>
      <c r="G17" s="30">
        <f>$C17*Supuestos!F$34</f>
        <v/>
      </c>
      <c r="H17" s="30">
        <f>$C17*Supuestos!G$34</f>
        <v/>
      </c>
      <c r="I17" s="30">
        <f>$C17*Supuestos!H$34</f>
        <v/>
      </c>
      <c r="J17" s="30">
        <f>$C17*Supuestos!I$34</f>
        <v/>
      </c>
      <c r="K17" s="30">
        <f>$C17*Supuestos!J$34</f>
        <v/>
      </c>
      <c r="L17" s="30">
        <f>$C17*Supuestos!K$34</f>
        <v/>
      </c>
      <c r="M17" s="30">
        <f>$C17*Supuestos!L$34</f>
        <v/>
      </c>
      <c r="N17" s="69">
        <f>SUM(D17:M17)-C17</f>
        <v/>
      </c>
    </row>
    <row r="18">
      <c r="B18" s="19">
        <f>'MP Cyber B2B'!B46</f>
        <v/>
      </c>
      <c r="C18" s="20">
        <f>'MP Cyber B2B'!G46</f>
        <v/>
      </c>
      <c r="D18" s="20">
        <f>$C18*Supuestos!C$34</f>
        <v/>
      </c>
      <c r="E18" s="20">
        <f>$C18*Supuestos!D$34</f>
        <v/>
      </c>
      <c r="F18" s="20">
        <f>$C18*Supuestos!E$34</f>
        <v/>
      </c>
      <c r="G18" s="20">
        <f>$C18*Supuestos!F$34</f>
        <v/>
      </c>
      <c r="H18" s="20">
        <f>$C18*Supuestos!G$34</f>
        <v/>
      </c>
      <c r="I18" s="20">
        <f>$C18*Supuestos!H$34</f>
        <v/>
      </c>
      <c r="J18" s="20">
        <f>$C18*Supuestos!I$34</f>
        <v/>
      </c>
      <c r="K18" s="20">
        <f>$C18*Supuestos!J$34</f>
        <v/>
      </c>
      <c r="L18" s="20">
        <f>$C18*Supuestos!K$34</f>
        <v/>
      </c>
      <c r="M18" s="20">
        <f>$C18*Supuestos!L$34</f>
        <v/>
      </c>
      <c r="N18" s="68">
        <f>SUM(D18:M18)-C18</f>
        <v/>
      </c>
    </row>
    <row r="19">
      <c r="B19" s="25">
        <f>'MP Cyber B2B'!B47</f>
        <v/>
      </c>
      <c r="C19" s="30">
        <f>'MP Cyber B2B'!G47</f>
        <v/>
      </c>
      <c r="D19" s="30">
        <f>$C19*Supuestos!C$34</f>
        <v/>
      </c>
      <c r="E19" s="30">
        <f>$C19*Supuestos!D$34</f>
        <v/>
      </c>
      <c r="F19" s="30">
        <f>$C19*Supuestos!E$34</f>
        <v/>
      </c>
      <c r="G19" s="30">
        <f>$C19*Supuestos!F$34</f>
        <v/>
      </c>
      <c r="H19" s="30">
        <f>$C19*Supuestos!G$34</f>
        <v/>
      </c>
      <c r="I19" s="30">
        <f>$C19*Supuestos!H$34</f>
        <v/>
      </c>
      <c r="J19" s="30">
        <f>$C19*Supuestos!I$34</f>
        <v/>
      </c>
      <c r="K19" s="30">
        <f>$C19*Supuestos!J$34</f>
        <v/>
      </c>
      <c r="L19" s="30">
        <f>$C19*Supuestos!K$34</f>
        <v/>
      </c>
      <c r="M19" s="30">
        <f>$C19*Supuestos!L$34</f>
        <v/>
      </c>
      <c r="N19" s="69">
        <f>SUM(D19:M19)-C19</f>
        <v/>
      </c>
    </row>
    <row r="20" ht="20" customHeight="1">
      <c r="B20" s="36" t="inlineStr">
        <is>
          <t>Total arriesgado</t>
        </is>
      </c>
      <c r="C20" s="37">
        <f>SUM(C16:C19)</f>
        <v/>
      </c>
      <c r="D20" s="63">
        <f>SUM(D16:D19)</f>
        <v/>
      </c>
      <c r="E20" s="63">
        <f>SUM(E16:E19)</f>
        <v/>
      </c>
      <c r="F20" s="63">
        <f>SUM(F16:F19)</f>
        <v/>
      </c>
      <c r="G20" s="63">
        <f>SUM(G16:G19)</f>
        <v/>
      </c>
      <c r="H20" s="63">
        <f>SUM(H16:H19)</f>
        <v/>
      </c>
      <c r="I20" s="63">
        <f>SUM(I16:I19)</f>
        <v/>
      </c>
      <c r="J20" s="63">
        <f>SUM(J16:J19)</f>
        <v/>
      </c>
      <c r="K20" s="63">
        <f>SUM(K16:K19)</f>
        <v/>
      </c>
      <c r="L20" s="63">
        <f>SUM(L16:L19)</f>
        <v/>
      </c>
      <c r="M20" s="63">
        <f>SUM(M16:M19)</f>
        <v/>
      </c>
      <c r="N20" s="63">
        <f>SUM(N16:N19)</f>
        <v/>
      </c>
    </row>
  </sheetData>
  <conditionalFormatting sqref="D8:M11">
    <cfRule type="colorScale" priority="1">
      <colorScale>
        <cfvo type="min"/>
        <cfvo type="max"/>
        <color rgb="00FFFFFF"/>
        <color rgb="0059D7A2"/>
      </colorScale>
    </cfRule>
  </conditionalFormatting>
  <conditionalFormatting sqref="D16:M19">
    <cfRule type="colorScale" priority="2">
      <colorScale>
        <cfvo type="min"/>
        <cfvo type="max"/>
        <color rgb="00FFFFFF"/>
        <color rgb="0059D7A2"/>
      </colorScale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59D7A2"/>
    <outlinePr summaryBelow="1" summaryRight="1"/>
    <pageSetUpPr fitToPage="1"/>
  </sheetPr>
  <dimension ref="B2:L36"/>
  <sheetViews>
    <sheetView showGridLines="0" workbookViewId="0">
      <selection activeCell="A1" sqref="A1"/>
    </sheetView>
  </sheetViews>
  <sheetFormatPr baseColWidth="8" defaultRowHeight="15"/>
  <cols>
    <col width="2.6" customWidth="1" min="1" max="1"/>
    <col width="36" customWidth="1" min="2" max="2"/>
    <col width="58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B2" s="1" t="inlineStr">
        <is>
          <t>zenda.</t>
        </is>
      </c>
    </row>
    <row r="3" ht="28" customHeight="1">
      <c r="B3" s="2" t="inlineStr">
        <is>
          <t>Supuestos del Media Plan</t>
        </is>
      </c>
    </row>
    <row r="4">
      <c r="B4" s="3" t="inlineStr">
        <is>
          <t>Lo único que se edita a mano está acá. El MP y el BGT Diario se recalculan solos.</t>
        </is>
      </c>
    </row>
    <row r="6">
      <c r="B6" s="70" t="inlineStr">
        <is>
          <t>REFERENCIAS</t>
        </is>
      </c>
    </row>
    <row r="7">
      <c r="B7" s="48" t="inlineStr">
        <is>
          <t>Dato cargado a mano</t>
        </is>
      </c>
    </row>
    <row r="8">
      <c r="B8" s="71" t="inlineStr">
        <is>
          <t>Pendiente de confirmar</t>
        </is>
      </c>
    </row>
    <row r="9">
      <c r="B9" s="23" t="inlineStr">
        <is>
          <t>Fórmula (no tocar)</t>
        </is>
      </c>
    </row>
    <row r="11" ht="24" customHeight="1">
      <c r="B11" s="15" t="inlineStr">
        <is>
          <t>FECHAS</t>
        </is>
      </c>
      <c r="C11" s="16" t="n"/>
      <c r="D11" s="16" t="n"/>
      <c r="E11" s="16" t="n"/>
    </row>
    <row r="12" ht="30" customHeight="1">
      <c r="B12" s="17" t="inlineStr">
        <is>
          <t>Etapa</t>
        </is>
      </c>
      <c r="C12" s="17" t="inlineStr">
        <is>
          <t>Inicio</t>
        </is>
      </c>
      <c r="D12" s="17" t="inlineStr">
        <is>
          <t>Fin</t>
        </is>
      </c>
      <c r="E12" s="17" t="inlineStr">
        <is>
          <t>Días</t>
        </is>
      </c>
    </row>
    <row r="13">
      <c r="B13" s="19" t="inlineStr">
        <is>
          <t>Previa: presencia de marca</t>
        </is>
      </c>
      <c r="C13" s="72" t="n">
        <v>46321</v>
      </c>
      <c r="D13" s="73" t="n">
        <v>46327</v>
      </c>
      <c r="E13" s="32">
        <f>D13-C13+1</f>
        <v/>
      </c>
    </row>
    <row r="14">
      <c r="B14" s="19" t="inlineStr">
        <is>
          <t>Pico de ventas (Cyber Monday)</t>
        </is>
      </c>
      <c r="C14" s="73" t="n">
        <v>46328</v>
      </c>
      <c r="D14" s="73" t="n">
        <v>46330</v>
      </c>
      <c r="E14" s="32">
        <f>D14-C14+1</f>
        <v/>
      </c>
    </row>
    <row r="15" ht="20" customHeight="1">
      <c r="B15" s="36" t="inlineStr">
        <is>
          <t>Flight total</t>
        </is>
      </c>
      <c r="C15" s="74">
        <f>C13</f>
        <v/>
      </c>
      <c r="D15" s="74">
        <f>D14</f>
        <v/>
      </c>
      <c r="E15" s="64">
        <f>E13+E14</f>
        <v/>
      </c>
    </row>
    <row r="17" ht="24" customHeight="1">
      <c r="B17" s="15" t="inlineStr">
        <is>
          <t>PRESUPUESTO POR ESCENARIO</t>
        </is>
      </c>
      <c r="C17" s="16" t="n"/>
      <c r="D17" s="16" t="n"/>
      <c r="E17" s="16" t="n"/>
    </row>
    <row r="18" ht="30" customHeight="1">
      <c r="B18" s="17" t="inlineStr">
        <is>
          <t>Escenario</t>
        </is>
      </c>
      <c r="C18" s="17" t="inlineStr">
        <is>
          <t>Criterio</t>
        </is>
      </c>
      <c r="D18" s="17" t="inlineStr">
        <is>
          <t>Inversión total</t>
        </is>
      </c>
      <c r="E18" s="17" t="inlineStr">
        <is>
          <t>Inversión diaria</t>
        </is>
      </c>
    </row>
    <row r="19">
      <c r="B19" s="19" t="inlineStr">
        <is>
          <t>Conservador</t>
        </is>
      </c>
      <c r="C19" s="55" t="inlineStr">
        <is>
          <t>Cercano a la inversión B2B actual de Argentina (oct.: $1.562.500/mes)</t>
        </is>
      </c>
      <c r="D19" s="75" t="n">
        <v>1500000</v>
      </c>
      <c r="E19" s="20">
        <f>IFERROR(D19/Supuestos!$E$15,"")</f>
        <v/>
      </c>
    </row>
    <row r="20">
      <c r="B20" s="19" t="inlineStr">
        <is>
          <t>Arriesgado</t>
        </is>
      </c>
      <c r="C20" s="55" t="inlineStr">
        <is>
          <t>≈ 2,3 veces el conservador, con más peso en Meta</t>
        </is>
      </c>
      <c r="D20" s="75" t="n">
        <v>3500000</v>
      </c>
      <c r="E20" s="20">
        <f>IFERROR(D20/Supuestos!$E$15,"")</f>
        <v/>
      </c>
    </row>
    <row r="22" ht="24" customHeight="1">
      <c r="B22" s="15" t="inlineStr">
        <is>
          <t>AUDIENCIA DE LINKEDIN</t>
        </is>
      </c>
      <c r="C22" s="16" t="n"/>
      <c r="D22" s="16" t="n"/>
      <c r="E22" s="16" t="n"/>
    </row>
    <row r="23">
      <c r="B23" s="19" t="inlineStr">
        <is>
          <t>Tamaño de la audiencia (miembros)</t>
        </is>
      </c>
      <c r="D23" s="76" t="n">
        <v>120000</v>
      </c>
    </row>
    <row r="24">
      <c r="B24" s="19" t="inlineStr">
        <is>
          <t>Cobertura máxima en el flight</t>
        </is>
      </c>
      <c r="D24" s="56" t="n">
        <v>0.5</v>
      </c>
    </row>
    <row r="25">
      <c r="B25" s="19" t="inlineStr">
        <is>
          <t>Alcance máximo</t>
        </is>
      </c>
      <c r="D25" s="33">
        <f>D23*D24</f>
        <v/>
      </c>
    </row>
    <row r="26">
      <c r="B26" s="19" t="inlineStr">
        <is>
          <t>Frecuencia mínima por persona</t>
        </is>
      </c>
      <c r="D26" s="77" t="n">
        <v>2.5</v>
      </c>
    </row>
    <row r="27">
      <c r="B27" s="3" t="inlineStr">
        <is>
          <t>Alcance = impresiones / frecuencia mínima, hasta el tope. Pasado el tope sube la frecuencia; si supera 8-10, conviene ampliar la audiencia.</t>
        </is>
      </c>
    </row>
    <row r="28" ht="24" customHeight="1">
      <c r="B28" s="15" t="inlineStr">
        <is>
          <t>AJUSTE DE COSTOS POR TEMPORADA</t>
        </is>
      </c>
      <c r="C28" s="16" t="n"/>
      <c r="D28" s="16" t="n"/>
      <c r="E28" s="16" t="n"/>
    </row>
    <row r="29">
      <c r="B29" s="19" t="inlineStr">
        <is>
          <t>Suba de CPM y CPC por el pico de demanda</t>
        </is>
      </c>
      <c r="D29" s="56" t="n">
        <v>0.15</v>
      </c>
    </row>
    <row r="31" ht="24" customHeight="1">
      <c r="B31" s="15" t="inlineStr">
        <is>
          <t>DISTRIBUCIÓN DIARIA DE LA INVERSIÓN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</row>
    <row r="32" ht="30" customHeight="1">
      <c r="B32" s="17" t="inlineStr"/>
      <c r="C32" s="17" t="inlineStr">
        <is>
          <t>Día 1</t>
        </is>
      </c>
      <c r="D32" s="17" t="inlineStr">
        <is>
          <t>Día 2</t>
        </is>
      </c>
      <c r="E32" s="17" t="inlineStr">
        <is>
          <t>Día 3</t>
        </is>
      </c>
      <c r="F32" s="17" t="inlineStr">
        <is>
          <t>Día 4</t>
        </is>
      </c>
      <c r="G32" s="17" t="inlineStr">
        <is>
          <t>Día 5</t>
        </is>
      </c>
      <c r="H32" s="17" t="inlineStr">
        <is>
          <t>Día 6</t>
        </is>
      </c>
      <c r="I32" s="17" t="inlineStr">
        <is>
          <t>Día 7</t>
        </is>
      </c>
      <c r="J32" s="17" t="inlineStr">
        <is>
          <t>Día 8</t>
        </is>
      </c>
      <c r="K32" s="17" t="inlineStr">
        <is>
          <t>Día 9</t>
        </is>
      </c>
      <c r="L32" s="17" t="inlineStr">
        <is>
          <t>Día 10</t>
        </is>
      </c>
    </row>
    <row r="33">
      <c r="B33" s="19" t="inlineStr">
        <is>
          <t>Fecha</t>
        </is>
      </c>
      <c r="C33" s="78">
        <f>Supuestos!$C$13+0</f>
        <v/>
      </c>
      <c r="D33" s="78">
        <f>Supuestos!$C$13+1</f>
        <v/>
      </c>
      <c r="E33" s="78">
        <f>Supuestos!$C$13+2</f>
        <v/>
      </c>
      <c r="F33" s="78">
        <f>Supuestos!$C$13+3</f>
        <v/>
      </c>
      <c r="G33" s="78">
        <f>Supuestos!$C$13+4</f>
        <v/>
      </c>
      <c r="H33" s="78">
        <f>Supuestos!$C$13+5</f>
        <v/>
      </c>
      <c r="I33" s="78">
        <f>Supuestos!$C$13+6</f>
        <v/>
      </c>
      <c r="J33" s="78">
        <f>Supuestos!$C$13+7</f>
        <v/>
      </c>
      <c r="K33" s="78">
        <f>Supuestos!$C$13+8</f>
        <v/>
      </c>
      <c r="L33" s="78">
        <f>Supuestos!$C$13+9</f>
        <v/>
      </c>
    </row>
    <row r="34">
      <c r="B34" s="19" t="inlineStr">
        <is>
          <t>% de la inversión</t>
        </is>
      </c>
      <c r="C34" s="56" t="n">
        <v>0.07000000000000001</v>
      </c>
      <c r="D34" s="56" t="n">
        <v>0.07000000000000001</v>
      </c>
      <c r="E34" s="56" t="n">
        <v>0.08</v>
      </c>
      <c r="F34" s="56" t="n">
        <v>0.08</v>
      </c>
      <c r="G34" s="56" t="n">
        <v>0.08</v>
      </c>
      <c r="H34" s="56" t="n">
        <v>0.08</v>
      </c>
      <c r="I34" s="56" t="n">
        <v>0.09</v>
      </c>
      <c r="J34" s="56" t="n">
        <v>0.15</v>
      </c>
      <c r="K34" s="56" t="n">
        <v>0.15</v>
      </c>
      <c r="L34" s="56" t="n">
        <v>0.15</v>
      </c>
    </row>
    <row r="35" ht="20" customHeight="1">
      <c r="B35" s="36" t="inlineStr">
        <is>
          <t>Control (debe dar 100 %)</t>
        </is>
      </c>
      <c r="C35" s="38">
        <f>SUM(C34:L34)</f>
        <v/>
      </c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</row>
    <row r="36">
      <c r="B36" s="3" t="inlineStr">
        <is>
          <t>Arranca más suave en la previa y concentra el 45 % en los tres días del pico. Si cambia el largo del flight, ajustar los días.</t>
        </is>
      </c>
    </row>
  </sheetData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2026-10-15T13:50:59Z</dcterms:created>
  <dcterms:modified xmlns:dcterms="http://purl.org/dc/terms/" xmlns:xsi="http://www.w3.org/2001/XMLSchema-instance" xsi:type="dcterms:W3CDTF">2026-10-15T13:51:00Z</dcterms:modified>
</cp:coreProperties>
</file>