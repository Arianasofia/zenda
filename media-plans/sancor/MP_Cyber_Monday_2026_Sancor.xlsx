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 Cyber 2026" sheetId="1" state="visible" r:id="rId1"/>
    <sheet xmlns:r="http://schemas.openxmlformats.org/officeDocument/2006/relationships" name="BGT Diario" sheetId="2" state="visible" r:id="rId2"/>
    <sheet xmlns:r="http://schemas.openxmlformats.org/officeDocument/2006/relationships" name="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$&quot; #,##0"/>
    <numFmt numFmtId="167" formatCode="ddd dd/mm"/>
    <numFmt numFmtId="168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2FA37A"/>
      <sz val="11"/>
    </font>
    <font>
      <name val="Calibri"/>
      <b val="1"/>
      <color rgb="000A0A0B"/>
      <sz val="16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0A0A0B"/>
      <sz val="10"/>
    </font>
    <font>
      <name val="Calibri"/>
      <color rgb="000A0A0B"/>
      <sz val="10"/>
    </font>
    <font>
      <name val="Calibri"/>
      <color rgb="000000FF"/>
      <sz val="10"/>
    </font>
    <font>
      <name val="Calibri"/>
      <b val="1"/>
      <color rgb="002FA37A"/>
      <sz val="10"/>
    </font>
    <font>
      <name val="Calibri"/>
      <color rgb="00666666"/>
      <sz val="9"/>
    </font>
    <font>
      <name val="Calibri"/>
      <b val="1"/>
      <color rgb="000A0A0B"/>
      <sz val="11"/>
    </font>
    <font>
      <name val="Calibri"/>
      <color rgb="002FA37A"/>
      <sz val="10"/>
    </font>
  </fonts>
  <fills count="8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59D7A2"/>
      </patternFill>
    </fill>
    <fill>
      <patternFill patternType="solid">
        <fgColor rgb="00FCE4F3"/>
      </patternFill>
    </fill>
    <fill>
      <patternFill patternType="solid">
        <fgColor rgb="00EAF9F3"/>
      </patternFill>
    </fill>
    <fill>
      <patternFill patternType="solid">
        <fgColor rgb="00EAF7FB"/>
      </patternFill>
    </fill>
    <fill>
      <patternFill patternType="solid">
        <fgColor rgb="00F7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66" fontId="11" fillId="7" borderId="0" applyAlignment="1" pivotButton="0" quotePrefix="0" xfId="0">
      <alignment horizontal="left" vertical="center"/>
    </xf>
    <xf numFmtId="9" fontId="6" fillId="7" borderId="0" applyAlignment="1" pivotButton="0" quotePrefix="0" xfId="0">
      <alignment horizontal="left" vertical="center"/>
    </xf>
    <xf numFmtId="3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166" fontId="8" fillId="5" borderId="0" applyAlignment="1" pivotButton="0" quotePrefix="0" xfId="0">
      <alignment horizontal="left" vertical="center"/>
    </xf>
    <xf numFmtId="9" fontId="5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left" vertical="center"/>
    </xf>
    <xf numFmtId="166" fontId="5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0" fillId="6" borderId="0" pivotButton="0" quotePrefix="0" xfId="0"/>
    <xf numFmtId="9" fontId="7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10" fontId="6" fillId="0" borderId="0" applyAlignment="1" pivotButton="0" quotePrefix="0" xfId="0">
      <alignment horizontal="left" vertical="center"/>
    </xf>
    <xf numFmtId="9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10" fontId="6" fillId="7" borderId="0" applyAlignment="1" pivotButton="0" quotePrefix="0" xfId="0">
      <alignment horizontal="left" vertical="center"/>
    </xf>
    <xf numFmtId="10" fontId="5" fillId="5" borderId="0" applyAlignment="1" pivotButton="0" quotePrefix="0" xfId="0">
      <alignment horizontal="left" vertical="center"/>
    </xf>
    <xf numFmtId="10" fontId="7" fillId="0" borderId="0" applyAlignment="1" pivotButton="0" quotePrefix="0" xfId="0">
      <alignment horizontal="left" vertical="center"/>
    </xf>
    <xf numFmtId="168" fontId="6" fillId="0" borderId="0" applyAlignment="1" pivotButton="0" quotePrefix="0" xfId="0">
      <alignment horizontal="left" vertical="center"/>
    </xf>
    <xf numFmtId="10" fontId="7" fillId="7" borderId="0" applyAlignment="1" pivotButton="0" quotePrefix="0" xfId="0">
      <alignment horizontal="left" vertical="center"/>
    </xf>
    <xf numFmtId="168" fontId="6" fillId="7" borderId="0" applyAlignment="1" pivotButton="0" quotePrefix="0" xfId="0">
      <alignment horizontal="left" vertical="center"/>
    </xf>
    <xf numFmtId="168" fontId="5" fillId="5" borderId="0" applyAlignment="1" pivotButton="0" quotePrefix="0" xfId="0">
      <alignment horizontal="left" vertical="center"/>
    </xf>
    <xf numFmtId="167" fontId="5" fillId="3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165" fontId="7" fillId="4" borderId="0" applyAlignment="1" pivotButton="0" quotePrefix="0" xfId="0">
      <alignment horizontal="left" vertical="center"/>
    </xf>
    <xf numFmtId="166" fontId="7" fillId="4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7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Zenda</author>
  </authors>
  <commentList>
    <comment ref="G30" authorId="0" shapeId="0">
      <text>
        <t>Benchmark: Demand Gen de tráfico (PS NOA), octubre 2026.</t>
      </text>
    </comment>
    <comment ref="G31" authorId="0" shapeId="0">
      <text>
        <t>Benchmark: Meta clics (PS ION), octubre 2026.</t>
      </text>
    </comment>
    <comment ref="G36" authorId="0" shapeId="0">
      <text>
        <t>Benchmark: real de la misma campaña en octubre 2026 (MP GSS octubre).</t>
      </text>
    </comment>
    <comment ref="G37" authorId="0" shapeId="0">
      <text>
        <t>Benchmark: Search Category de Auto, octubre 2026.</t>
      </text>
    </comment>
    <comment ref="G38" authorId="0" shapeId="0">
      <text>
        <t>Benchmark: real de la misma campaña en octubre 2026 (MP GSS octubre).</t>
      </text>
    </comment>
    <comment ref="G39" authorId="0" shapeId="0">
      <text>
        <t>Benchmark: real de la misma campaña en octubre 2026 (MP GSS octubre).</t>
      </text>
    </comment>
    <comment ref="G44" authorId="0" shapeId="0">
      <text>
        <t>Benchmark: real de la misma campaña en octubre 2026 (MP GSS octubre).</t>
      </text>
    </comment>
    <comment ref="G45" authorId="0" shapeId="0">
      <text>
        <t>Benchmark: Search Not Brand de Moto, octubre 2026.</t>
      </text>
    </comment>
    <comment ref="G46" authorId="0" shapeId="0">
      <text>
        <t>Benchmark: real de la misma campaña en octubre 2026 (MP GSS octubre).</t>
      </text>
    </comment>
    <comment ref="G47" authorId="0" shapeId="0">
      <text>
        <t>Benchmark: real de la misma campaña en octubre 2026 (MP GSS octubre).</t>
      </text>
    </comment>
    <comment ref="G52" authorId="0" shapeId="0">
      <text>
        <t>Benchmark: real de la misma campaña en octubre 2026 (MP GSS octubre).</t>
      </text>
    </comment>
    <comment ref="G53" authorId="0" shapeId="0">
      <text>
        <t>Benchmark: real de la misma campaña en octubre 2026 (MP GSS octubre).</t>
      </text>
    </comment>
    <comment ref="G54" authorId="0" shapeId="0">
      <text>
        <t>Campaña nueva para el Cyber de Movilidad (en 2025 no corrió). Benchmark: real de la misma campaña en octubre 2026 (MP GSS octubre).</t>
      </text>
    </comment>
    <comment ref="G55" authorId="0" shapeId="0">
      <text>
        <t>Benchmark: real de la misma campaña en octubre 2026 (MP GSS octubre).</t>
      </text>
    </comment>
    <comment ref="G60" authorId="0" shapeId="0">
      <text>
        <t>Hogar no pauta en octubre: benchmark del Cyber 2025 con CPC + 22 % de inflación anual.</t>
      </text>
    </comment>
    <comment ref="G61" authorId="0" shapeId="0">
      <text>
        <t>Hogar no pauta en octubre: benchmark del Cyber 2025 con CPC + 22 % de inflación anual.</t>
      </text>
    </comment>
    <comment ref="G62" authorId="0" shapeId="0">
      <text>
        <t>Hogar no pauta en octubre: benchmark del Cyber 2025 con CPC + 22 % de inflación anual.</t>
      </text>
    </comment>
  </commentList>
</comments>
</file>

<file path=xl/comments/comment2.xml><?xml version="1.0" encoding="utf-8"?>
<comments xmlns="http://schemas.openxmlformats.org/spreadsheetml/2006/main">
  <authors>
    <author>Zenda</author>
  </authors>
  <commentList>
    <comment ref="C8" authorId="0" shapeId="0">
      <text>
        <t>Fecha estimada: Cyber Monday 2025 fue del 3 al 5/11 con extensión a toda la semana. Confirmar fechas oficiales 2026.</t>
      </text>
    </comment>
    <comment ref="D8" authorId="0" shapeId="0">
      <text>
        <t>Fecha estimada: Cyber Monday 2025 fue del 3 al 5/11 con extensión a toda la semana. Confirmar fechas oficiales 2026.</t>
      </text>
    </comment>
    <comment ref="C9" authorId="0" shapeId="0">
      <text>
        <t>Fecha estimada: Cyber Monday 2025 fue del 3 al 5/11 con extensión a toda la semana. Confirmar fechas oficiales 2026.</t>
      </text>
    </comment>
    <comment ref="D9" authorId="0" shapeId="0">
      <text>
        <t>Fecha estimada: Cyber Monday 2025 fue del 3 al 5/11 con extensión a toda la semana. Confirmar fechas oficiales 2026.</t>
      </text>
    </comment>
    <comment ref="D13" authorId="0" shapeId="0">
      <text>
        <t>Monto de ejemplo (inversión Cyber 2025 + ~30 %). Reemplazar con el presupuesto que mande el cliente.</t>
      </text>
    </comment>
    <comment ref="D14" authorId="0" shapeId="0">
      <text>
        <t>Monto de ejemplo (inversión Cyber 2025 + ~30 %). Reemplazar con el presupuesto que mande el cliente.</t>
      </text>
    </comment>
    <comment ref="D15" authorId="0" shapeId="0">
      <text>
        <t>Monto de ejemplo (inversión Cyber 2025 + ~30 %). Reemplazar con el presupuesto que mande el cliente.</t>
      </text>
    </comment>
    <comment ref="D16" authorId="0" shapeId="0">
      <text>
        <t>Monto de ejemplo (inversión Cyber 2025 + ~30 %). Reemplazar con el presupuesto que mande el cliente.</t>
      </text>
    </comment>
    <comment ref="D17" authorId="0" shapeId="0">
      <text>
        <t>Monto de ejemplo (inversión Cyber 2025 + ~30 %). Reemplazar con el presupuesto que mande el cliente.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63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.6" customWidth="1" min="1" max="1"/>
    <col width="34" customWidth="1" min="2" max="2"/>
    <col width="13" customWidth="1" min="3" max="3"/>
    <col width="14" customWidth="1" min="4" max="4"/>
    <col width="7" customWidth="1" min="5" max="5"/>
    <col width="14" customWidth="1" min="6" max="6"/>
    <col width="11" customWidth="1" min="7" max="7"/>
    <col width="9" customWidth="1" min="8" max="8"/>
    <col width="10" customWidth="1" min="9" max="9"/>
    <col width="9" customWidth="1" min="10" max="10"/>
    <col width="10" customWidth="1" min="11" max="11"/>
    <col width="11" customWidth="1" min="12" max="12"/>
    <col width="13" customWidth="1" min="13" max="13"/>
    <col width="13" customWidth="1" min="14" max="14"/>
    <col width="13" customWidth="1" min="15" max="15"/>
    <col width="11" customWidth="1" min="16" max="16"/>
    <col width="14" customWidth="1" min="17" max="17"/>
  </cols>
  <sheetData>
    <row r="2">
      <c r="B2" s="1" t="inlineStr">
        <is>
          <t>zenda.</t>
        </is>
      </c>
    </row>
    <row r="3">
      <c r="B3" s="2" t="inlineStr">
        <is>
          <t>Sancor Seguros  |  Media Plan Cyber Monday 2026</t>
        </is>
      </c>
    </row>
    <row r="4">
      <c r="B4" s="3" t="inlineStr">
        <is>
          <t>Versión de ejemplo: presupuesto, productos y fechas pendientes de confirmar (celdas en rosa en Supuestos).</t>
        </is>
      </c>
    </row>
    <row r="6">
      <c r="B6" s="4" t="inlineStr">
        <is>
          <t>RESUMEN POR ETAPA Y PRODUCTO</t>
        </is>
      </c>
      <c r="C6" s="5" t="n"/>
      <c r="D6" s="5" t="n"/>
      <c r="E6" s="5" t="n"/>
      <c r="F6" s="5" t="n"/>
      <c r="G6" s="5" t="n"/>
      <c r="H6" s="5" t="n"/>
      <c r="J6" s="4" t="inlineStr">
        <is>
          <t>RESUMEN POR MEDIO</t>
        </is>
      </c>
      <c r="K6" s="5" t="n"/>
      <c r="L6" s="5" t="n"/>
      <c r="M6" s="5" t="n"/>
      <c r="N6" s="5" t="n"/>
    </row>
    <row r="7">
      <c r="B7" s="6" t="inlineStr">
        <is>
          <t>Producto</t>
        </is>
      </c>
      <c r="C7" s="6" t="inlineStr">
        <is>
          <t>Etapa</t>
        </is>
      </c>
      <c r="D7" s="6" t="inlineStr">
        <is>
          <t>Inversión</t>
        </is>
      </c>
      <c r="E7" s="6" t="inlineStr">
        <is>
          <t>% del total</t>
        </is>
      </c>
      <c r="F7" s="6" t="inlineStr">
        <is>
          <t>Conversiones</t>
        </is>
      </c>
      <c r="G7" s="6" t="inlineStr">
        <is>
          <t>CPA</t>
        </is>
      </c>
      <c r="H7" s="6" t="inlineStr">
        <is>
          <t>Clicks</t>
        </is>
      </c>
      <c r="J7" s="6" t="inlineStr">
        <is>
          <t>Medio</t>
        </is>
      </c>
      <c r="K7" s="6" t="inlineStr">
        <is>
          <t>Inversión</t>
        </is>
      </c>
      <c r="L7" s="6" t="inlineStr">
        <is>
          <t>% del total</t>
        </is>
      </c>
      <c r="M7" s="6" t="inlineStr">
        <is>
          <t>Conversiones</t>
        </is>
      </c>
      <c r="N7" s="6" t="inlineStr">
        <is>
          <t>CPA</t>
        </is>
      </c>
    </row>
    <row r="8">
      <c r="B8" s="7" t="inlineStr">
        <is>
          <t>Teaser</t>
        </is>
      </c>
      <c r="C8" s="7" t="inlineStr">
        <is>
          <t>Teaser</t>
        </is>
      </c>
      <c r="D8" s="8">
        <f>F32</f>
        <v/>
      </c>
      <c r="E8" s="9">
        <f>IFERROR(D8/$D$13,"")</f>
        <v/>
      </c>
      <c r="F8" s="10" t="inlineStr">
        <is>
          <t>-</t>
        </is>
      </c>
      <c r="G8" s="10" t="inlineStr">
        <is>
          <t>-</t>
        </is>
      </c>
      <c r="H8" s="11">
        <f>L32</f>
        <v/>
      </c>
      <c r="J8" s="7" t="inlineStr">
        <is>
          <t>Google Ads</t>
        </is>
      </c>
      <c r="K8" s="8">
        <f>SUMIF($C$28:$C$65,J8,$F$28:$F$65)</f>
        <v/>
      </c>
      <c r="L8" s="9">
        <f>IFERROR(K8/$K$10,"")</f>
        <v/>
      </c>
      <c r="M8" s="11">
        <f>SUMIF($C$36:$C$65,J8,$N$36:$N$65)</f>
        <v/>
      </c>
      <c r="N8" s="12">
        <f>IFERROR(SUMIF($C$36:$C$65,J8,$F$36:$F$65)/M8,"")</f>
        <v/>
      </c>
    </row>
    <row r="9">
      <c r="B9" s="13" t="inlineStr">
        <is>
          <t>Auto</t>
        </is>
      </c>
      <c r="C9" s="13" t="inlineStr">
        <is>
          <t>Performance</t>
        </is>
      </c>
      <c r="D9" s="14">
        <f>F40</f>
        <v/>
      </c>
      <c r="E9" s="15">
        <f>IFERROR(D9/$D$13,"")</f>
        <v/>
      </c>
      <c r="F9" s="16">
        <f>N40</f>
        <v/>
      </c>
      <c r="G9" s="17">
        <f>IFERROR(D9/F9,"")</f>
        <v/>
      </c>
      <c r="H9" s="16">
        <f>L40</f>
        <v/>
      </c>
      <c r="J9" s="13" t="inlineStr">
        <is>
          <t>Meta Ads</t>
        </is>
      </c>
      <c r="K9" s="14">
        <f>SUMIF($C$28:$C$65,J9,$F$28:$F$65)</f>
        <v/>
      </c>
      <c r="L9" s="15">
        <f>IFERROR(K9/$K$10,"")</f>
        <v/>
      </c>
      <c r="M9" s="16">
        <f>SUMIF($C$36:$C$65,J9,$N$36:$N$65)</f>
        <v/>
      </c>
      <c r="N9" s="17">
        <f>IFERROR(SUMIF($C$36:$C$65,J9,$F$36:$F$65)/M9,"")</f>
        <v/>
      </c>
    </row>
    <row r="10">
      <c r="B10" s="7" t="inlineStr">
        <is>
          <t>Moto</t>
        </is>
      </c>
      <c r="C10" s="7" t="inlineStr">
        <is>
          <t>Performance</t>
        </is>
      </c>
      <c r="D10" s="8">
        <f>F48</f>
        <v/>
      </c>
      <c r="E10" s="9">
        <f>IFERROR(D10/$D$13,"")</f>
        <v/>
      </c>
      <c r="F10" s="11">
        <f>N48</f>
        <v/>
      </c>
      <c r="G10" s="12">
        <f>IFERROR(D10/F10,"")</f>
        <v/>
      </c>
      <c r="H10" s="11">
        <f>L48</f>
        <v/>
      </c>
      <c r="J10" s="18" t="inlineStr">
        <is>
          <t>TOTAL</t>
        </is>
      </c>
      <c r="K10" s="19">
        <f>SUM(K8:K9)</f>
        <v/>
      </c>
      <c r="L10" s="20">
        <f>SUM(L8:L9)</f>
        <v/>
      </c>
      <c r="M10" s="21">
        <f>SUM(M8:M9)</f>
        <v/>
      </c>
      <c r="N10" s="22">
        <f>IFERROR(SUM(D9:D12)/M10,)</f>
        <v/>
      </c>
    </row>
    <row r="11">
      <c r="B11" s="13" t="inlineStr">
        <is>
          <t>Movilidad</t>
        </is>
      </c>
      <c r="C11" s="13" t="inlineStr">
        <is>
          <t>Performance</t>
        </is>
      </c>
      <c r="D11" s="14">
        <f>F56</f>
        <v/>
      </c>
      <c r="E11" s="15">
        <f>IFERROR(D11/$D$13,"")</f>
        <v/>
      </c>
      <c r="F11" s="16">
        <f>N56</f>
        <v/>
      </c>
      <c r="G11" s="17">
        <f>IFERROR(D11/F11,"")</f>
        <v/>
      </c>
      <c r="H11" s="16">
        <f>L56</f>
        <v/>
      </c>
    </row>
    <row r="12">
      <c r="B12" s="7" t="inlineStr">
        <is>
          <t>Hogar</t>
        </is>
      </c>
      <c r="C12" s="7" t="inlineStr">
        <is>
          <t>Performance</t>
        </is>
      </c>
      <c r="D12" s="8">
        <f>F63</f>
        <v/>
      </c>
      <c r="E12" s="9">
        <f>IFERROR(D12/$D$13,"")</f>
        <v/>
      </c>
      <c r="F12" s="11">
        <f>N63</f>
        <v/>
      </c>
      <c r="G12" s="12">
        <f>IFERROR(D12/F12,"")</f>
        <v/>
      </c>
      <c r="H12" s="11">
        <f>L63</f>
        <v/>
      </c>
    </row>
    <row r="13">
      <c r="B13" s="18" t="inlineStr">
        <is>
          <t>TOTAL</t>
        </is>
      </c>
      <c r="C13" s="23" t="n"/>
      <c r="D13" s="19">
        <f>SUM(D8:D12)</f>
        <v/>
      </c>
      <c r="E13" s="20">
        <f>SUM(E8:E12)</f>
        <v/>
      </c>
      <c r="F13" s="21">
        <f>SUM(F9:F12)</f>
        <v/>
      </c>
      <c r="G13" s="22">
        <f>IFERROR(SUM(D9:D12)/F13,"")</f>
        <v/>
      </c>
      <c r="H13" s="21">
        <f>SUM(H8:H12)</f>
        <v/>
      </c>
    </row>
    <row r="14">
      <c r="B14" s="3" t="inlineStr">
        <is>
          <t>CPA total calculado solo sobre Performance (el teaser no lleva conversiones).</t>
        </is>
      </c>
    </row>
    <row r="16">
      <c r="B16" s="4" t="inlineStr">
        <is>
          <t>FECHAS</t>
        </is>
      </c>
      <c r="C16" s="5" t="n"/>
      <c r="D16" s="5" t="n"/>
      <c r="E16" s="5" t="n"/>
      <c r="F16" s="5" t="n"/>
      <c r="G16" s="5" t="n"/>
      <c r="H16" s="5" t="n"/>
      <c r="J16" s="4" t="inlineStr">
        <is>
          <t>CONTROLES</t>
        </is>
      </c>
      <c r="K16" s="5" t="n"/>
      <c r="L16" s="5" t="n"/>
      <c r="M16" s="5" t="n"/>
      <c r="N16" s="5" t="n"/>
    </row>
    <row r="17">
      <c r="B17" s="7" t="inlineStr">
        <is>
          <t>Teaser</t>
        </is>
      </c>
      <c r="C17" s="24">
        <f>Supuestos!$C$8</f>
        <v/>
      </c>
      <c r="D17" s="24">
        <f>Supuestos!$D$8</f>
        <v/>
      </c>
      <c r="J17" s="7" t="inlineStr">
        <is>
          <t>Detalle = presupuesto</t>
        </is>
      </c>
      <c r="M17" s="25">
        <f>IF(ROUND(D13-Supuestos!D18,0)=0,"OK","REVISAR")</f>
        <v/>
      </c>
    </row>
    <row r="18">
      <c r="B18" s="7" t="inlineStr">
        <is>
          <t>Cyber Monday + Cyber Week</t>
        </is>
      </c>
      <c r="C18" s="24">
        <f>Supuestos!$C$9</f>
        <v/>
      </c>
      <c r="D18" s="24">
        <f>Supuestos!D9</f>
        <v/>
      </c>
      <c r="J18" s="7" t="inlineStr">
        <is>
          <t>Medios = total</t>
        </is>
      </c>
      <c r="M18" s="25">
        <f>IF(ROUND(K10-D13,0)=0,"OK","REVISAR")</f>
        <v/>
      </c>
    </row>
    <row r="19">
      <c r="B19" s="7" t="inlineStr">
        <is>
          <t>Presupuesto total</t>
        </is>
      </c>
      <c r="C19" s="26">
        <f>Supuestos!D18</f>
        <v/>
      </c>
      <c r="J19" s="7" t="inlineStr">
        <is>
          <t>% de cada bloque = 100 %</t>
        </is>
      </c>
      <c r="M19" s="25">
        <f>IF(AND(ROUND(E32,4)=1,ROUND(E40,4)=1,ROUND(E48,4)=1,ROUND(E56,4)=1,ROUND(E63,4)=1),"OK","REVISAR")</f>
        <v/>
      </c>
    </row>
    <row r="20">
      <c r="J20" s="7" t="inlineStr">
        <is>
          <t>Curva diaria = 100 %</t>
        </is>
      </c>
      <c r="M20" s="25">
        <f>IF(ROUND(Supuestos!C32,4)=1,"OK","REVISAR")</f>
        <v/>
      </c>
    </row>
    <row r="26">
      <c r="B26" s="4" t="inlineStr">
        <is>
          <t>DETALLE POR CAMPAÑA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8">
      <c r="B28" s="27" t="inlineStr">
        <is>
          <t xml:space="preserve">  Teaser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</row>
    <row r="29">
      <c r="B29" s="6" t="inlineStr">
        <is>
          <t>Campaña</t>
        </is>
      </c>
      <c r="C29" s="6" t="inlineStr">
        <is>
          <t>Medio</t>
        </is>
      </c>
      <c r="D29" s="6" t="inlineStr">
        <is>
          <t>Estrategia</t>
        </is>
      </c>
      <c r="E29" s="6" t="inlineStr">
        <is>
          <t>%</t>
        </is>
      </c>
      <c r="F29" s="6" t="inlineStr">
        <is>
          <t>Inversión</t>
        </is>
      </c>
      <c r="G29" s="6" t="inlineStr">
        <is>
          <t>CPM</t>
        </is>
      </c>
      <c r="H29" s="6" t="inlineStr">
        <is>
          <t>CPC</t>
        </is>
      </c>
      <c r="I29" s="6" t="inlineStr"/>
      <c r="J29" s="6" t="inlineStr"/>
      <c r="K29" s="6" t="inlineStr"/>
      <c r="L29" s="6" t="inlineStr">
        <is>
          <t>Clicks</t>
        </is>
      </c>
      <c r="M29" s="6" t="inlineStr">
        <is>
          <t>Impresiones</t>
        </is>
      </c>
      <c r="N29" s="6" t="inlineStr">
        <is>
          <t>CTR</t>
        </is>
      </c>
      <c r="O29" s="6" t="inlineStr"/>
      <c r="P29" s="6" t="inlineStr"/>
      <c r="Q29" s="6" t="inlineStr">
        <is>
          <t>Inv. diaria prom.</t>
        </is>
      </c>
    </row>
    <row r="30">
      <c r="B30" s="7" t="inlineStr">
        <is>
          <t>DEMAND GEN - TRÁFICO</t>
        </is>
      </c>
      <c r="C30" s="7" t="inlineStr">
        <is>
          <t>Google Ads</t>
        </is>
      </c>
      <c r="D30" s="7" t="inlineStr">
        <is>
          <t>TRÁFICO</t>
        </is>
      </c>
      <c r="E30" s="29" t="n">
        <v>0.5</v>
      </c>
      <c r="F30" s="12">
        <f>E30*Supuestos!$D$13</f>
        <v/>
      </c>
      <c r="G30" s="30" t="n">
        <v>325.17</v>
      </c>
      <c r="H30" s="30" t="n">
        <v>10.62</v>
      </c>
      <c r="I30" s="7" t="n"/>
      <c r="J30" s="7" t="n"/>
      <c r="K30" s="7" t="n"/>
      <c r="L30" s="11">
        <f>IFERROR(F30/H30,"")</f>
        <v/>
      </c>
      <c r="M30" s="11">
        <f>IFERROR(F30/G30*1000,"")</f>
        <v/>
      </c>
      <c r="N30" s="31">
        <f>IFERROR(L30/M30,"")</f>
        <v/>
      </c>
      <c r="O30" s="7" t="n"/>
      <c r="P30" s="7" t="n"/>
      <c r="Q30" s="12">
        <f>IFERROR(F30/Supuestos!$E$8,"")</f>
        <v/>
      </c>
    </row>
    <row r="31">
      <c r="B31" s="13" t="inlineStr">
        <is>
          <t>META - TRÁFICO</t>
        </is>
      </c>
      <c r="C31" s="13" t="inlineStr">
        <is>
          <t>Meta Ads</t>
        </is>
      </c>
      <c r="D31" s="13" t="inlineStr">
        <is>
          <t>TRÁFICO</t>
        </is>
      </c>
      <c r="E31" s="32" t="n">
        <v>0.5</v>
      </c>
      <c r="F31" s="17">
        <f>E31*Supuestos!$D$13</f>
        <v/>
      </c>
      <c r="G31" s="33" t="n">
        <v>400</v>
      </c>
      <c r="H31" s="33" t="n">
        <v>37.1</v>
      </c>
      <c r="I31" s="13" t="n"/>
      <c r="J31" s="13" t="n"/>
      <c r="K31" s="13" t="n"/>
      <c r="L31" s="16">
        <f>IFERROR(F31/H31,"")</f>
        <v/>
      </c>
      <c r="M31" s="16">
        <f>IFERROR(F31/G31*1000,"")</f>
        <v/>
      </c>
      <c r="N31" s="34">
        <f>IFERROR(L31/M31,"")</f>
        <v/>
      </c>
      <c r="O31" s="13" t="n"/>
      <c r="P31" s="13" t="n"/>
      <c r="Q31" s="17">
        <f>IFERROR(F31/Supuestos!$E$8,"")</f>
        <v/>
      </c>
    </row>
    <row r="32">
      <c r="B32" s="18" t="inlineStr">
        <is>
          <t>Subtotal Teaser</t>
        </is>
      </c>
      <c r="C32" s="23" t="n"/>
      <c r="D32" s="23" t="n"/>
      <c r="E32" s="20">
        <f>SUM(E30:E31)</f>
        <v/>
      </c>
      <c r="F32" s="19">
        <f>SUM(F30:F31)</f>
        <v/>
      </c>
      <c r="G32" s="23" t="n"/>
      <c r="H32" s="23" t="n"/>
      <c r="I32" s="23" t="n"/>
      <c r="J32" s="23" t="n"/>
      <c r="K32" s="23" t="n"/>
      <c r="L32" s="21">
        <f>SUM(L30:L31)</f>
        <v/>
      </c>
      <c r="M32" s="21">
        <f>SUM(M30:M31)</f>
        <v/>
      </c>
      <c r="N32" s="35">
        <f>IFERROR(L32/M32,"")</f>
        <v/>
      </c>
      <c r="O32" s="23" t="n"/>
      <c r="P32" s="23" t="n"/>
      <c r="Q32" s="22">
        <f>SUM(Q30:Q31)</f>
        <v/>
      </c>
    </row>
    <row r="34">
      <c r="B34" s="27" t="inlineStr">
        <is>
          <t xml:space="preserve">  Performance Auto</t>
        </is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</row>
    <row r="35">
      <c r="B35" s="6" t="inlineStr">
        <is>
          <t>Campaña</t>
        </is>
      </c>
      <c r="C35" s="6" t="inlineStr">
        <is>
          <t>Medio</t>
        </is>
      </c>
      <c r="D35" s="6" t="inlineStr">
        <is>
          <t>Estrategia</t>
        </is>
      </c>
      <c r="E35" s="6" t="inlineStr">
        <is>
          <t>%</t>
        </is>
      </c>
      <c r="F35" s="6" t="inlineStr">
        <is>
          <t>Inversión</t>
        </is>
      </c>
      <c r="G35" s="6" t="inlineStr">
        <is>
          <t>CPC</t>
        </is>
      </c>
      <c r="H35" s="6" t="inlineStr">
        <is>
          <t>CTR</t>
        </is>
      </c>
      <c r="I35" s="6" t="inlineStr">
        <is>
          <t>CR base</t>
        </is>
      </c>
      <c r="J35" s="6" t="inlineStr">
        <is>
          <t>Ajuste</t>
        </is>
      </c>
      <c r="K35" s="6" t="inlineStr">
        <is>
          <t>CR Cyber</t>
        </is>
      </c>
      <c r="L35" s="6" t="inlineStr">
        <is>
          <t>Clicks</t>
        </is>
      </c>
      <c r="M35" s="6" t="inlineStr">
        <is>
          <t>Impresiones</t>
        </is>
      </c>
      <c r="N35" s="6" t="inlineStr">
        <is>
          <t>Conversiones</t>
        </is>
      </c>
      <c r="O35" s="6" t="inlineStr">
        <is>
          <t>CPA</t>
        </is>
      </c>
      <c r="P35" s="6" t="inlineStr">
        <is>
          <t>CPM</t>
        </is>
      </c>
      <c r="Q35" s="6" t="inlineStr">
        <is>
          <t>Inv. diaria prom.</t>
        </is>
      </c>
    </row>
    <row r="36">
      <c r="B36" s="7" t="inlineStr">
        <is>
          <t>GOOGLE SEARCH - BRAND</t>
        </is>
      </c>
      <c r="C36" s="7" t="inlineStr">
        <is>
          <t>Google Ads</t>
        </is>
      </c>
      <c r="D36" s="7" t="inlineStr">
        <is>
          <t>CONVERSIONES</t>
        </is>
      </c>
      <c r="E36" s="29" t="n">
        <v>0.32</v>
      </c>
      <c r="F36" s="12">
        <f>E36*Supuestos!$D$14</f>
        <v/>
      </c>
      <c r="G36" s="30" t="n">
        <v>542.37</v>
      </c>
      <c r="H36" s="36" t="n">
        <v>0.3084</v>
      </c>
      <c r="I36" s="36" t="n">
        <v>0.014</v>
      </c>
      <c r="J36" s="9">
        <f>Supuestos!$F$22</f>
        <v/>
      </c>
      <c r="K36" s="31">
        <f>I36*J36</f>
        <v/>
      </c>
      <c r="L36" s="11">
        <f>IFERROR(F36/G36,"")</f>
        <v/>
      </c>
      <c r="M36" s="11">
        <f>IFERROR(L36/H36,"")</f>
        <v/>
      </c>
      <c r="N36" s="37">
        <f>IFERROR(L36*K36,"")</f>
        <v/>
      </c>
      <c r="O36" s="12">
        <f>IFERROR(F36/N36,"")</f>
        <v/>
      </c>
      <c r="P36" s="12">
        <f>IFERROR(F36/M36*1000,"")</f>
        <v/>
      </c>
      <c r="Q36" s="12">
        <f>IFERROR(F36/Supuestos!$E$9,"")</f>
        <v/>
      </c>
    </row>
    <row r="37">
      <c r="B37" s="13" t="inlineStr">
        <is>
          <t>GOOGLE SEARCH - NOT BRAND</t>
        </is>
      </c>
      <c r="C37" s="13" t="inlineStr">
        <is>
          <t>Google Ads</t>
        </is>
      </c>
      <c r="D37" s="13" t="inlineStr">
        <is>
          <t>CONVERSIONES</t>
        </is>
      </c>
      <c r="E37" s="32" t="n">
        <v>0.26</v>
      </c>
      <c r="F37" s="17">
        <f>E37*Supuestos!$D$14</f>
        <v/>
      </c>
      <c r="G37" s="33" t="n">
        <v>3108.27</v>
      </c>
      <c r="H37" s="38" t="n">
        <v>0.0572</v>
      </c>
      <c r="I37" s="38" t="n">
        <v>0.0581</v>
      </c>
      <c r="J37" s="15">
        <f>Supuestos!$F$22</f>
        <v/>
      </c>
      <c r="K37" s="34">
        <f>I37*J37</f>
        <v/>
      </c>
      <c r="L37" s="16">
        <f>IFERROR(F37/G37,"")</f>
        <v/>
      </c>
      <c r="M37" s="16">
        <f>IFERROR(L37/H37,"")</f>
        <v/>
      </c>
      <c r="N37" s="39">
        <f>IFERROR(L37*K37,"")</f>
        <v/>
      </c>
      <c r="O37" s="17">
        <f>IFERROR(F37/N37,"")</f>
        <v/>
      </c>
      <c r="P37" s="17">
        <f>IFERROR(F37/M37*1000,"")</f>
        <v/>
      </c>
      <c r="Q37" s="17">
        <f>IFERROR(F37/Supuestos!$E$9,"")</f>
        <v/>
      </c>
    </row>
    <row r="38">
      <c r="B38" s="7" t="inlineStr">
        <is>
          <t>PERFORMANCE MAX</t>
        </is>
      </c>
      <c r="C38" s="7" t="inlineStr">
        <is>
          <t>Google Ads</t>
        </is>
      </c>
      <c r="D38" s="7" t="inlineStr">
        <is>
          <t>CONVERSIONES</t>
        </is>
      </c>
      <c r="E38" s="29" t="n">
        <v>0.37</v>
      </c>
      <c r="F38" s="12">
        <f>E38*Supuestos!$D$14</f>
        <v/>
      </c>
      <c r="G38" s="30" t="n">
        <v>547.0599999999999</v>
      </c>
      <c r="H38" s="36" t="n">
        <v>0.0143</v>
      </c>
      <c r="I38" s="36" t="n">
        <v>0.0278</v>
      </c>
      <c r="J38" s="9">
        <f>Supuestos!$F$22</f>
        <v/>
      </c>
      <c r="K38" s="31">
        <f>I38*J38</f>
        <v/>
      </c>
      <c r="L38" s="11">
        <f>IFERROR(F38/G38,"")</f>
        <v/>
      </c>
      <c r="M38" s="11">
        <f>IFERROR(L38/H38,"")</f>
        <v/>
      </c>
      <c r="N38" s="37">
        <f>IFERROR(L38*K38,"")</f>
        <v/>
      </c>
      <c r="O38" s="12">
        <f>IFERROR(F38/N38,"")</f>
        <v/>
      </c>
      <c r="P38" s="12">
        <f>IFERROR(F38/M38*1000,"")</f>
        <v/>
      </c>
      <c r="Q38" s="12">
        <f>IFERROR(F38/Supuestos!$E$9,"")</f>
        <v/>
      </c>
    </row>
    <row r="39">
      <c r="B39" s="13" t="inlineStr">
        <is>
          <t>META</t>
        </is>
      </c>
      <c r="C39" s="13" t="inlineStr">
        <is>
          <t>Meta Ads</t>
        </is>
      </c>
      <c r="D39" s="13" t="inlineStr">
        <is>
          <t>CONVERSIONES</t>
        </is>
      </c>
      <c r="E39" s="32" t="n">
        <v>0.05</v>
      </c>
      <c r="F39" s="17">
        <f>E39*Supuestos!$D$14</f>
        <v/>
      </c>
      <c r="G39" s="33" t="n">
        <v>246.54</v>
      </c>
      <c r="H39" s="38" t="n">
        <v>0.0055</v>
      </c>
      <c r="I39" s="38" t="n">
        <v>0.0067</v>
      </c>
      <c r="J39" s="15">
        <f>Supuestos!$F$22</f>
        <v/>
      </c>
      <c r="K39" s="34">
        <f>I39*J39</f>
        <v/>
      </c>
      <c r="L39" s="16">
        <f>IFERROR(F39/G39,"")</f>
        <v/>
      </c>
      <c r="M39" s="16">
        <f>IFERROR(L39/H39,"")</f>
        <v/>
      </c>
      <c r="N39" s="39">
        <f>IFERROR(L39*K39,"")</f>
        <v/>
      </c>
      <c r="O39" s="17">
        <f>IFERROR(F39/N39,"")</f>
        <v/>
      </c>
      <c r="P39" s="17">
        <f>IFERROR(F39/M39*1000,"")</f>
        <v/>
      </c>
      <c r="Q39" s="17">
        <f>IFERROR(F39/Supuestos!$E$9,"")</f>
        <v/>
      </c>
    </row>
    <row r="40">
      <c r="B40" s="18" t="inlineStr">
        <is>
          <t>Subtotal Auto</t>
        </is>
      </c>
      <c r="C40" s="23" t="n"/>
      <c r="D40" s="23" t="n"/>
      <c r="E40" s="20">
        <f>SUM(E36:E39)</f>
        <v/>
      </c>
      <c r="F40" s="19">
        <f>SUM(F36:F39)</f>
        <v/>
      </c>
      <c r="G40" s="22">
        <f>IFERROR(F40/L40,"")</f>
        <v/>
      </c>
      <c r="H40" s="35">
        <f>IFERROR(L40/M40,"")</f>
        <v/>
      </c>
      <c r="I40" s="23" t="n"/>
      <c r="J40" s="23" t="n"/>
      <c r="K40" s="35">
        <f>IFERROR(N40/L40,"")</f>
        <v/>
      </c>
      <c r="L40" s="21">
        <f>SUM(L36:L39)</f>
        <v/>
      </c>
      <c r="M40" s="21">
        <f>SUM(M36:M39)</f>
        <v/>
      </c>
      <c r="N40" s="40">
        <f>SUM(N36:N39)</f>
        <v/>
      </c>
      <c r="O40" s="22">
        <f>IFERROR(F40/N40,"")</f>
        <v/>
      </c>
      <c r="P40" s="22">
        <f>IFERROR(F40/M40*1000,"")</f>
        <v/>
      </c>
      <c r="Q40" s="22">
        <f>SUM(Q36:Q39)</f>
        <v/>
      </c>
    </row>
    <row r="42">
      <c r="B42" s="27" t="inlineStr">
        <is>
          <t xml:space="preserve">  Performance Moto</t>
        </is>
      </c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</row>
    <row r="43">
      <c r="B43" s="6" t="inlineStr">
        <is>
          <t>Campaña</t>
        </is>
      </c>
      <c r="C43" s="6" t="inlineStr">
        <is>
          <t>Medio</t>
        </is>
      </c>
      <c r="D43" s="6" t="inlineStr">
        <is>
          <t>Estrategia</t>
        </is>
      </c>
      <c r="E43" s="6" t="inlineStr">
        <is>
          <t>%</t>
        </is>
      </c>
      <c r="F43" s="6" t="inlineStr">
        <is>
          <t>Inversión</t>
        </is>
      </c>
      <c r="G43" s="6" t="inlineStr">
        <is>
          <t>CPC</t>
        </is>
      </c>
      <c r="H43" s="6" t="inlineStr">
        <is>
          <t>CTR</t>
        </is>
      </c>
      <c r="I43" s="6" t="inlineStr">
        <is>
          <t>CR base</t>
        </is>
      </c>
      <c r="J43" s="6" t="inlineStr">
        <is>
          <t>Ajuste</t>
        </is>
      </c>
      <c r="K43" s="6" t="inlineStr">
        <is>
          <t>CR Cyber</t>
        </is>
      </c>
      <c r="L43" s="6" t="inlineStr">
        <is>
          <t>Clicks</t>
        </is>
      </c>
      <c r="M43" s="6" t="inlineStr">
        <is>
          <t>Impresiones</t>
        </is>
      </c>
      <c r="N43" s="6" t="inlineStr">
        <is>
          <t>Conversiones</t>
        </is>
      </c>
      <c r="O43" s="6" t="inlineStr">
        <is>
          <t>CPA</t>
        </is>
      </c>
      <c r="P43" s="6" t="inlineStr">
        <is>
          <t>CPM</t>
        </is>
      </c>
      <c r="Q43" s="6" t="inlineStr">
        <is>
          <t>Inv. diaria prom.</t>
        </is>
      </c>
    </row>
    <row r="44">
      <c r="B44" s="7" t="inlineStr">
        <is>
          <t>SEM - BRAND</t>
        </is>
      </c>
      <c r="C44" s="7" t="inlineStr">
        <is>
          <t>Google Ads</t>
        </is>
      </c>
      <c r="D44" s="7" t="inlineStr">
        <is>
          <t>CONVERSIONES</t>
        </is>
      </c>
      <c r="E44" s="29" t="n">
        <v>0.16</v>
      </c>
      <c r="F44" s="12">
        <f>E44*Supuestos!$D$15</f>
        <v/>
      </c>
      <c r="G44" s="30" t="n">
        <v>270.3</v>
      </c>
      <c r="H44" s="36" t="n">
        <v>0.6377</v>
      </c>
      <c r="I44" s="36" t="n">
        <v>0.1538</v>
      </c>
      <c r="J44" s="9">
        <f>Supuestos!$F$23</f>
        <v/>
      </c>
      <c r="K44" s="31">
        <f>I44*J44</f>
        <v/>
      </c>
      <c r="L44" s="11">
        <f>IFERROR(F44/G44,"")</f>
        <v/>
      </c>
      <c r="M44" s="11">
        <f>IFERROR(L44/H44,"")</f>
        <v/>
      </c>
      <c r="N44" s="37">
        <f>IFERROR(L44*K44,"")</f>
        <v/>
      </c>
      <c r="O44" s="12">
        <f>IFERROR(F44/N44,"")</f>
        <v/>
      </c>
      <c r="P44" s="12">
        <f>IFERROR(F44/M44*1000,"")</f>
        <v/>
      </c>
      <c r="Q44" s="12">
        <f>IFERROR(F44/Supuestos!$E$9,"")</f>
        <v/>
      </c>
    </row>
    <row r="45">
      <c r="B45" s="13" t="inlineStr">
        <is>
          <t>SEM - CATEGORÍA</t>
        </is>
      </c>
      <c r="C45" s="13" t="inlineStr">
        <is>
          <t>Google Ads</t>
        </is>
      </c>
      <c r="D45" s="13" t="inlineStr">
        <is>
          <t>CONVERSIONES</t>
        </is>
      </c>
      <c r="E45" s="32" t="n">
        <v>0.26</v>
      </c>
      <c r="F45" s="17">
        <f>E45*Supuestos!$D$15</f>
        <v/>
      </c>
      <c r="G45" s="33" t="n">
        <v>187.97</v>
      </c>
      <c r="H45" s="38" t="n">
        <v>0.1514</v>
      </c>
      <c r="I45" s="38" t="n">
        <v>0.1568</v>
      </c>
      <c r="J45" s="15">
        <f>Supuestos!$F$23</f>
        <v/>
      </c>
      <c r="K45" s="34">
        <f>I45*J45</f>
        <v/>
      </c>
      <c r="L45" s="16">
        <f>IFERROR(F45/G45,"")</f>
        <v/>
      </c>
      <c r="M45" s="16">
        <f>IFERROR(L45/H45,"")</f>
        <v/>
      </c>
      <c r="N45" s="39">
        <f>IFERROR(L45*K45,"")</f>
        <v/>
      </c>
      <c r="O45" s="17">
        <f>IFERROR(F45/N45,"")</f>
        <v/>
      </c>
      <c r="P45" s="17">
        <f>IFERROR(F45/M45*1000,"")</f>
        <v/>
      </c>
      <c r="Q45" s="17">
        <f>IFERROR(F45/Supuestos!$E$9,"")</f>
        <v/>
      </c>
    </row>
    <row r="46">
      <c r="B46" s="7" t="inlineStr">
        <is>
          <t>PERFORMANCE MAX</t>
        </is>
      </c>
      <c r="C46" s="7" t="inlineStr">
        <is>
          <t>Google Ads</t>
        </is>
      </c>
      <c r="D46" s="7" t="inlineStr">
        <is>
          <t>CONVERSIONES</t>
        </is>
      </c>
      <c r="E46" s="29" t="n">
        <v>0.53</v>
      </c>
      <c r="F46" s="12">
        <f>E46*Supuestos!$D$15</f>
        <v/>
      </c>
      <c r="G46" s="30" t="n">
        <v>244.1</v>
      </c>
      <c r="H46" s="36" t="n">
        <v>0.0419</v>
      </c>
      <c r="I46" s="36" t="n">
        <v>0.204</v>
      </c>
      <c r="J46" s="9">
        <f>Supuestos!$F$23</f>
        <v/>
      </c>
      <c r="K46" s="31">
        <f>I46*J46</f>
        <v/>
      </c>
      <c r="L46" s="11">
        <f>IFERROR(F46/G46,"")</f>
        <v/>
      </c>
      <c r="M46" s="11">
        <f>IFERROR(L46/H46,"")</f>
        <v/>
      </c>
      <c r="N46" s="37">
        <f>IFERROR(L46*K46,"")</f>
        <v/>
      </c>
      <c r="O46" s="12">
        <f>IFERROR(F46/N46,"")</f>
        <v/>
      </c>
      <c r="P46" s="12">
        <f>IFERROR(F46/M46*1000,"")</f>
        <v/>
      </c>
      <c r="Q46" s="12">
        <f>IFERROR(F46/Supuestos!$E$9,"")</f>
        <v/>
      </c>
    </row>
    <row r="47">
      <c r="B47" s="13" t="inlineStr">
        <is>
          <t>META</t>
        </is>
      </c>
      <c r="C47" s="13" t="inlineStr">
        <is>
          <t>Meta Ads</t>
        </is>
      </c>
      <c r="D47" s="13" t="inlineStr">
        <is>
          <t>CONVERSIONES</t>
        </is>
      </c>
      <c r="E47" s="32" t="n">
        <v>0.05</v>
      </c>
      <c r="F47" s="17">
        <f>E47*Supuestos!$D$15</f>
        <v/>
      </c>
      <c r="G47" s="33" t="n">
        <v>292.91</v>
      </c>
      <c r="H47" s="38" t="n">
        <v>0.0136</v>
      </c>
      <c r="I47" s="38" t="n">
        <v>0.1086</v>
      </c>
      <c r="J47" s="15">
        <f>Supuestos!$F$23</f>
        <v/>
      </c>
      <c r="K47" s="34">
        <f>I47*J47</f>
        <v/>
      </c>
      <c r="L47" s="16">
        <f>IFERROR(F47/G47,"")</f>
        <v/>
      </c>
      <c r="M47" s="16">
        <f>IFERROR(L47/H47,"")</f>
        <v/>
      </c>
      <c r="N47" s="39">
        <f>IFERROR(L47*K47,"")</f>
        <v/>
      </c>
      <c r="O47" s="17">
        <f>IFERROR(F47/N47,"")</f>
        <v/>
      </c>
      <c r="P47" s="17">
        <f>IFERROR(F47/M47*1000,"")</f>
        <v/>
      </c>
      <c r="Q47" s="17">
        <f>IFERROR(F47/Supuestos!$E$9,"")</f>
        <v/>
      </c>
    </row>
    <row r="48">
      <c r="B48" s="18" t="inlineStr">
        <is>
          <t>Subtotal Moto</t>
        </is>
      </c>
      <c r="C48" s="23" t="n"/>
      <c r="D48" s="23" t="n"/>
      <c r="E48" s="20">
        <f>SUM(E44:E47)</f>
        <v/>
      </c>
      <c r="F48" s="19">
        <f>SUM(F44:F47)</f>
        <v/>
      </c>
      <c r="G48" s="22">
        <f>IFERROR(F48/L48,"")</f>
        <v/>
      </c>
      <c r="H48" s="35">
        <f>IFERROR(L48/M48,"")</f>
        <v/>
      </c>
      <c r="I48" s="23" t="n"/>
      <c r="J48" s="23" t="n"/>
      <c r="K48" s="35">
        <f>IFERROR(N48/L48,"")</f>
        <v/>
      </c>
      <c r="L48" s="21">
        <f>SUM(L44:L47)</f>
        <v/>
      </c>
      <c r="M48" s="21">
        <f>SUM(M44:M47)</f>
        <v/>
      </c>
      <c r="N48" s="40">
        <f>SUM(N44:N47)</f>
        <v/>
      </c>
      <c r="O48" s="22">
        <f>IFERROR(F48/N48,"")</f>
        <v/>
      </c>
      <c r="P48" s="22">
        <f>IFERROR(F48/M48*1000,"")</f>
        <v/>
      </c>
      <c r="Q48" s="22">
        <f>SUM(Q44:Q47)</f>
        <v/>
      </c>
    </row>
    <row r="50">
      <c r="B50" s="27" t="inlineStr">
        <is>
          <t xml:space="preserve">  Performance Movilidad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</row>
    <row r="51">
      <c r="B51" s="6" t="inlineStr">
        <is>
          <t>Campaña</t>
        </is>
      </c>
      <c r="C51" s="6" t="inlineStr">
        <is>
          <t>Medio</t>
        </is>
      </c>
      <c r="D51" s="6" t="inlineStr">
        <is>
          <t>Estrategia</t>
        </is>
      </c>
      <c r="E51" s="6" t="inlineStr">
        <is>
          <t>%</t>
        </is>
      </c>
      <c r="F51" s="6" t="inlineStr">
        <is>
          <t>Inversión</t>
        </is>
      </c>
      <c r="G51" s="6" t="inlineStr">
        <is>
          <t>CPC</t>
        </is>
      </c>
      <c r="H51" s="6" t="inlineStr">
        <is>
          <t>CTR</t>
        </is>
      </c>
      <c r="I51" s="6" t="inlineStr">
        <is>
          <t>CR base</t>
        </is>
      </c>
      <c r="J51" s="6" t="inlineStr">
        <is>
          <t>Ajuste</t>
        </is>
      </c>
      <c r="K51" s="6" t="inlineStr">
        <is>
          <t>CR Cyber</t>
        </is>
      </c>
      <c r="L51" s="6" t="inlineStr">
        <is>
          <t>Clicks</t>
        </is>
      </c>
      <c r="M51" s="6" t="inlineStr">
        <is>
          <t>Impresiones</t>
        </is>
      </c>
      <c r="N51" s="6" t="inlineStr">
        <is>
          <t>Conversiones</t>
        </is>
      </c>
      <c r="O51" s="6" t="inlineStr">
        <is>
          <t>CPA</t>
        </is>
      </c>
      <c r="P51" s="6" t="inlineStr">
        <is>
          <t>CPM</t>
        </is>
      </c>
      <c r="Q51" s="6" t="inlineStr">
        <is>
          <t>Inv. diaria prom.</t>
        </is>
      </c>
    </row>
    <row r="52">
      <c r="B52" s="7" t="inlineStr">
        <is>
          <t>SEM - BRAND</t>
        </is>
      </c>
      <c r="C52" s="7" t="inlineStr">
        <is>
          <t>Google Ads</t>
        </is>
      </c>
      <c r="D52" s="7" t="inlineStr">
        <is>
          <t>CONVERSIONES</t>
        </is>
      </c>
      <c r="E52" s="29" t="n">
        <v>0.07000000000000001</v>
      </c>
      <c r="F52" s="12">
        <f>E52*Supuestos!$D$16</f>
        <v/>
      </c>
      <c r="G52" s="30" t="n">
        <v>1742.57</v>
      </c>
      <c r="H52" s="36" t="n">
        <v>0.3835</v>
      </c>
      <c r="I52" s="36" t="n">
        <v>0.1191</v>
      </c>
      <c r="J52" s="9">
        <f>Supuestos!$F$24</f>
        <v/>
      </c>
      <c r="K52" s="31">
        <f>I52*J52</f>
        <v/>
      </c>
      <c r="L52" s="11">
        <f>IFERROR(F52/G52,"")</f>
        <v/>
      </c>
      <c r="M52" s="11">
        <f>IFERROR(L52/H52,"")</f>
        <v/>
      </c>
      <c r="N52" s="37">
        <f>IFERROR(L52*K52,"")</f>
        <v/>
      </c>
      <c r="O52" s="12">
        <f>IFERROR(F52/N52,"")</f>
        <v/>
      </c>
      <c r="P52" s="12">
        <f>IFERROR(F52/M52*1000,"")</f>
        <v/>
      </c>
      <c r="Q52" s="12">
        <f>IFERROR(F52/Supuestos!$E$9,"")</f>
        <v/>
      </c>
    </row>
    <row r="53">
      <c r="B53" s="13" t="inlineStr">
        <is>
          <t>SEM - CATEGORÍA</t>
        </is>
      </c>
      <c r="C53" s="13" t="inlineStr">
        <is>
          <t>Google Ads</t>
        </is>
      </c>
      <c r="D53" s="13" t="inlineStr">
        <is>
          <t>CONVERSIONES</t>
        </is>
      </c>
      <c r="E53" s="32" t="n">
        <v>0.63</v>
      </c>
      <c r="F53" s="17">
        <f>E53*Supuestos!$D$16</f>
        <v/>
      </c>
      <c r="G53" s="33" t="n">
        <v>1261.64</v>
      </c>
      <c r="H53" s="38" t="n">
        <v>0.145</v>
      </c>
      <c r="I53" s="38" t="n">
        <v>0.0762</v>
      </c>
      <c r="J53" s="15">
        <f>Supuestos!$F$24</f>
        <v/>
      </c>
      <c r="K53" s="34">
        <f>I53*J53</f>
        <v/>
      </c>
      <c r="L53" s="16">
        <f>IFERROR(F53/G53,"")</f>
        <v/>
      </c>
      <c r="M53" s="16">
        <f>IFERROR(L53/H53,"")</f>
        <v/>
      </c>
      <c r="N53" s="39">
        <f>IFERROR(L53*K53,"")</f>
        <v/>
      </c>
      <c r="O53" s="17">
        <f>IFERROR(F53/N53,"")</f>
        <v/>
      </c>
      <c r="P53" s="17">
        <f>IFERROR(F53/M53*1000,"")</f>
        <v/>
      </c>
      <c r="Q53" s="17">
        <f>IFERROR(F53/Supuestos!$E$9,"")</f>
        <v/>
      </c>
    </row>
    <row r="54">
      <c r="B54" s="7" t="inlineStr">
        <is>
          <t>PERFORMANCE MAX</t>
        </is>
      </c>
      <c r="C54" s="7" t="inlineStr">
        <is>
          <t>Google Ads</t>
        </is>
      </c>
      <c r="D54" s="7" t="inlineStr">
        <is>
          <t>CONVERSIONES</t>
        </is>
      </c>
      <c r="E54" s="29" t="n">
        <v>0.15</v>
      </c>
      <c r="F54" s="12">
        <f>E54*Supuestos!$D$16</f>
        <v/>
      </c>
      <c r="G54" s="30" t="n">
        <v>214.53</v>
      </c>
      <c r="H54" s="36" t="n">
        <v>0.0429</v>
      </c>
      <c r="I54" s="36" t="n">
        <v>0.0358</v>
      </c>
      <c r="J54" s="9">
        <f>Supuestos!$F$24</f>
        <v/>
      </c>
      <c r="K54" s="31">
        <f>I54*J54</f>
        <v/>
      </c>
      <c r="L54" s="11">
        <f>IFERROR(F54/G54,"")</f>
        <v/>
      </c>
      <c r="M54" s="11">
        <f>IFERROR(L54/H54,"")</f>
        <v/>
      </c>
      <c r="N54" s="37">
        <f>IFERROR(L54*K54,"")</f>
        <v/>
      </c>
      <c r="O54" s="12">
        <f>IFERROR(F54/N54,"")</f>
        <v/>
      </c>
      <c r="P54" s="12">
        <f>IFERROR(F54/M54*1000,"")</f>
        <v/>
      </c>
      <c r="Q54" s="12">
        <f>IFERROR(F54/Supuestos!$E$9,"")</f>
        <v/>
      </c>
    </row>
    <row r="55">
      <c r="B55" s="13" t="inlineStr">
        <is>
          <t>META</t>
        </is>
      </c>
      <c r="C55" s="13" t="inlineStr">
        <is>
          <t>Meta Ads</t>
        </is>
      </c>
      <c r="D55" s="13" t="inlineStr">
        <is>
          <t>CONVERSIONES</t>
        </is>
      </c>
      <c r="E55" s="32" t="n">
        <v>0.15</v>
      </c>
      <c r="F55" s="17">
        <f>E55*Supuestos!$D$16</f>
        <v/>
      </c>
      <c r="G55" s="33" t="n">
        <v>461.64</v>
      </c>
      <c r="H55" s="38" t="n">
        <v>0.0064</v>
      </c>
      <c r="I55" s="38" t="n">
        <v>0.0388</v>
      </c>
      <c r="J55" s="15">
        <f>Supuestos!$F$24</f>
        <v/>
      </c>
      <c r="K55" s="34">
        <f>I55*J55</f>
        <v/>
      </c>
      <c r="L55" s="16">
        <f>IFERROR(F55/G55,"")</f>
        <v/>
      </c>
      <c r="M55" s="16">
        <f>IFERROR(L55/H55,"")</f>
        <v/>
      </c>
      <c r="N55" s="39">
        <f>IFERROR(L55*K55,"")</f>
        <v/>
      </c>
      <c r="O55" s="17">
        <f>IFERROR(F55/N55,"")</f>
        <v/>
      </c>
      <c r="P55" s="17">
        <f>IFERROR(F55/M55*1000,"")</f>
        <v/>
      </c>
      <c r="Q55" s="17">
        <f>IFERROR(F55/Supuestos!$E$9,"")</f>
        <v/>
      </c>
    </row>
    <row r="56">
      <c r="B56" s="18" t="inlineStr">
        <is>
          <t>Subtotal Movilidad</t>
        </is>
      </c>
      <c r="C56" s="23" t="n"/>
      <c r="D56" s="23" t="n"/>
      <c r="E56" s="20">
        <f>SUM(E52:E55)</f>
        <v/>
      </c>
      <c r="F56" s="19">
        <f>SUM(F52:F55)</f>
        <v/>
      </c>
      <c r="G56" s="22">
        <f>IFERROR(F56/L56,"")</f>
        <v/>
      </c>
      <c r="H56" s="35">
        <f>IFERROR(L56/M56,"")</f>
        <v/>
      </c>
      <c r="I56" s="23" t="n"/>
      <c r="J56" s="23" t="n"/>
      <c r="K56" s="35">
        <f>IFERROR(N56/L56,"")</f>
        <v/>
      </c>
      <c r="L56" s="21">
        <f>SUM(L52:L55)</f>
        <v/>
      </c>
      <c r="M56" s="21">
        <f>SUM(M52:M55)</f>
        <v/>
      </c>
      <c r="N56" s="40">
        <f>SUM(N52:N55)</f>
        <v/>
      </c>
      <c r="O56" s="22">
        <f>IFERROR(F56/N56,"")</f>
        <v/>
      </c>
      <c r="P56" s="22">
        <f>IFERROR(F56/M56*1000,"")</f>
        <v/>
      </c>
      <c r="Q56" s="22">
        <f>SUM(Q52:Q55)</f>
        <v/>
      </c>
    </row>
    <row r="58">
      <c r="B58" s="27" t="inlineStr">
        <is>
          <t xml:space="preserve">  Performance Hogar</t>
        </is>
      </c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</row>
    <row r="59">
      <c r="B59" s="6" t="inlineStr">
        <is>
          <t>Campaña</t>
        </is>
      </c>
      <c r="C59" s="6" t="inlineStr">
        <is>
          <t>Medio</t>
        </is>
      </c>
      <c r="D59" s="6" t="inlineStr">
        <is>
          <t>Estrategia</t>
        </is>
      </c>
      <c r="E59" s="6" t="inlineStr">
        <is>
          <t>%</t>
        </is>
      </c>
      <c r="F59" s="6" t="inlineStr">
        <is>
          <t>Inversión</t>
        </is>
      </c>
      <c r="G59" s="6" t="inlineStr">
        <is>
          <t>CPC</t>
        </is>
      </c>
      <c r="H59" s="6" t="inlineStr">
        <is>
          <t>CTR</t>
        </is>
      </c>
      <c r="I59" s="6" t="inlineStr">
        <is>
          <t>CR base</t>
        </is>
      </c>
      <c r="J59" s="6" t="inlineStr">
        <is>
          <t>Ajuste</t>
        </is>
      </c>
      <c r="K59" s="6" t="inlineStr">
        <is>
          <t>CR Cyber</t>
        </is>
      </c>
      <c r="L59" s="6" t="inlineStr">
        <is>
          <t>Clicks</t>
        </is>
      </c>
      <c r="M59" s="6" t="inlineStr">
        <is>
          <t>Impresiones</t>
        </is>
      </c>
      <c r="N59" s="6" t="inlineStr">
        <is>
          <t>Conversiones</t>
        </is>
      </c>
      <c r="O59" s="6" t="inlineStr">
        <is>
          <t>CPA</t>
        </is>
      </c>
      <c r="P59" s="6" t="inlineStr">
        <is>
          <t>CPM</t>
        </is>
      </c>
      <c r="Q59" s="6" t="inlineStr">
        <is>
          <t>Inv. diaria prom.</t>
        </is>
      </c>
    </row>
    <row r="60">
      <c r="B60" s="7" t="inlineStr">
        <is>
          <t>GOOGLE SEARCH - BRAND</t>
        </is>
      </c>
      <c r="C60" s="7" t="inlineStr">
        <is>
          <t>Google Ads</t>
        </is>
      </c>
      <c r="D60" s="7" t="inlineStr">
        <is>
          <t>CONVERSIONES</t>
        </is>
      </c>
      <c r="E60" s="29" t="n">
        <v>0.1</v>
      </c>
      <c r="F60" s="12">
        <f>E60*Supuestos!$D$17</f>
        <v/>
      </c>
      <c r="G60" s="30" t="n">
        <v>872.46</v>
      </c>
      <c r="H60" s="36" t="n">
        <v>0.3918</v>
      </c>
      <c r="I60" s="36" t="n">
        <v>0.0526</v>
      </c>
      <c r="J60" s="9">
        <f>Supuestos!$F$25</f>
        <v/>
      </c>
      <c r="K60" s="31">
        <f>I60*J60</f>
        <v/>
      </c>
      <c r="L60" s="11">
        <f>IFERROR(F60/G60,"")</f>
        <v/>
      </c>
      <c r="M60" s="11">
        <f>IFERROR(L60/H60,"")</f>
        <v/>
      </c>
      <c r="N60" s="37">
        <f>IFERROR(L60*K60,"")</f>
        <v/>
      </c>
      <c r="O60" s="12">
        <f>IFERROR(F60/N60,"")</f>
        <v/>
      </c>
      <c r="P60" s="12">
        <f>IFERROR(F60/M60*1000,"")</f>
        <v/>
      </c>
      <c r="Q60" s="12">
        <f>IFERROR(F60/Supuestos!$E$9,"")</f>
        <v/>
      </c>
    </row>
    <row r="61">
      <c r="B61" s="13" t="inlineStr">
        <is>
          <t>GOOGLE SEARCH - NOT BRAND</t>
        </is>
      </c>
      <c r="C61" s="13" t="inlineStr">
        <is>
          <t>Google Ads</t>
        </is>
      </c>
      <c r="D61" s="13" t="inlineStr">
        <is>
          <t>CONVERSIONES</t>
        </is>
      </c>
      <c r="E61" s="32" t="n">
        <v>0.33</v>
      </c>
      <c r="F61" s="17">
        <f>E61*Supuestos!$D$17</f>
        <v/>
      </c>
      <c r="G61" s="33" t="n">
        <v>2186.44</v>
      </c>
      <c r="H61" s="38" t="n">
        <v>0.0843</v>
      </c>
      <c r="I61" s="38" t="n">
        <v>0.0234</v>
      </c>
      <c r="J61" s="15">
        <f>Supuestos!$F$25</f>
        <v/>
      </c>
      <c r="K61" s="34">
        <f>I61*J61</f>
        <v/>
      </c>
      <c r="L61" s="16">
        <f>IFERROR(F61/G61,"")</f>
        <v/>
      </c>
      <c r="M61" s="16">
        <f>IFERROR(L61/H61,"")</f>
        <v/>
      </c>
      <c r="N61" s="39">
        <f>IFERROR(L61*K61,"")</f>
        <v/>
      </c>
      <c r="O61" s="17">
        <f>IFERROR(F61/N61,"")</f>
        <v/>
      </c>
      <c r="P61" s="17">
        <f>IFERROR(F61/M61*1000,"")</f>
        <v/>
      </c>
      <c r="Q61" s="17">
        <f>IFERROR(F61/Supuestos!$E$9,"")</f>
        <v/>
      </c>
    </row>
    <row r="62">
      <c r="B62" s="7" t="inlineStr">
        <is>
          <t>PERFORMANCE MAX</t>
        </is>
      </c>
      <c r="C62" s="7" t="inlineStr">
        <is>
          <t>Google Ads</t>
        </is>
      </c>
      <c r="D62" s="7" t="inlineStr">
        <is>
          <t>CONVERSIONES</t>
        </is>
      </c>
      <c r="E62" s="29" t="n">
        <v>0.57</v>
      </c>
      <c r="F62" s="12">
        <f>E62*Supuestos!$D$17</f>
        <v/>
      </c>
      <c r="G62" s="30" t="n">
        <v>500.1</v>
      </c>
      <c r="H62" s="36" t="n">
        <v>0.0183</v>
      </c>
      <c r="I62" s="36" t="n">
        <v>0.007900000000000001</v>
      </c>
      <c r="J62" s="9">
        <f>Supuestos!$F$25</f>
        <v/>
      </c>
      <c r="K62" s="31">
        <f>I62*J62</f>
        <v/>
      </c>
      <c r="L62" s="11">
        <f>IFERROR(F62/G62,"")</f>
        <v/>
      </c>
      <c r="M62" s="11">
        <f>IFERROR(L62/H62,"")</f>
        <v/>
      </c>
      <c r="N62" s="37">
        <f>IFERROR(L62*K62,"")</f>
        <v/>
      </c>
      <c r="O62" s="12">
        <f>IFERROR(F62/N62,"")</f>
        <v/>
      </c>
      <c r="P62" s="12">
        <f>IFERROR(F62/M62*1000,"")</f>
        <v/>
      </c>
      <c r="Q62" s="12">
        <f>IFERROR(F62/Supuestos!$E$9,"")</f>
        <v/>
      </c>
    </row>
    <row r="63">
      <c r="B63" s="18" t="inlineStr">
        <is>
          <t>Subtotal Hogar</t>
        </is>
      </c>
      <c r="C63" s="23" t="n"/>
      <c r="D63" s="23" t="n"/>
      <c r="E63" s="20">
        <f>SUM(E60:E62)</f>
        <v/>
      </c>
      <c r="F63" s="19">
        <f>SUM(F60:F62)</f>
        <v/>
      </c>
      <c r="G63" s="22">
        <f>IFERROR(F63/L63,"")</f>
        <v/>
      </c>
      <c r="H63" s="35">
        <f>IFERROR(L63/M63,"")</f>
        <v/>
      </c>
      <c r="I63" s="23" t="n"/>
      <c r="J63" s="23" t="n"/>
      <c r="K63" s="35">
        <f>IFERROR(N63/L63,"")</f>
        <v/>
      </c>
      <c r="L63" s="21">
        <f>SUM(L60:L62)</f>
        <v/>
      </c>
      <c r="M63" s="21">
        <f>SUM(M60:M62)</f>
        <v/>
      </c>
      <c r="N63" s="40">
        <f>SUM(N60:N62)</f>
        <v/>
      </c>
      <c r="O63" s="22">
        <f>IFERROR(F63/N63,"")</f>
        <v/>
      </c>
      <c r="P63" s="22">
        <f>IFERROR(F63/M63*1000,"")</f>
        <v/>
      </c>
      <c r="Q63" s="22">
        <f>SUM(Q60:Q62)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</cols>
  <sheetData>
    <row r="2">
      <c r="B2" s="1" t="inlineStr">
        <is>
          <t>zenda.</t>
        </is>
      </c>
    </row>
    <row r="3">
      <c r="B3" s="2" t="inlineStr">
        <is>
          <t>Sancor Seguros  |  Cyber Monday 2026 · Inversión diaria</t>
        </is>
      </c>
    </row>
    <row r="4">
      <c r="B4" s="3" t="inlineStr">
        <is>
          <t>Semana Cyber: inversión de cada campaña × curva diaria de Supuestos. Teaser: inversión pareja por día.</t>
        </is>
      </c>
    </row>
    <row r="6">
      <c r="B6" s="4" t="inlineStr">
        <is>
          <t>SEMANA CYBER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B7" s="27" t="inlineStr">
        <is>
          <t xml:space="preserve">  Performance Auto</t>
        </is>
      </c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>
      <c r="B8" s="6" t="inlineStr">
        <is>
          <t>Campaña</t>
        </is>
      </c>
      <c r="C8" s="6" t="inlineStr">
        <is>
          <t>Inversión</t>
        </is>
      </c>
      <c r="D8" s="41">
        <f>Supuestos!C30</f>
        <v/>
      </c>
      <c r="E8" s="41">
        <f>Supuestos!D30</f>
        <v/>
      </c>
      <c r="F8" s="41">
        <f>Supuestos!E30</f>
        <v/>
      </c>
      <c r="G8" s="41">
        <f>Supuestos!F30</f>
        <v/>
      </c>
      <c r="H8" s="41">
        <f>Supuestos!G30</f>
        <v/>
      </c>
      <c r="I8" s="41">
        <f>Supuestos!H30</f>
        <v/>
      </c>
      <c r="J8" s="41">
        <f>Supuestos!I30</f>
        <v/>
      </c>
      <c r="K8" s="6" t="inlineStr">
        <is>
          <t>Control</t>
        </is>
      </c>
    </row>
    <row r="9">
      <c r="B9" s="7">
        <f>'MP Cyber 2026'!B36</f>
        <v/>
      </c>
      <c r="C9" s="12">
        <f>'MP Cyber 2026'!F36</f>
        <v/>
      </c>
      <c r="D9" s="12">
        <f>$C9*Supuestos!C$31</f>
        <v/>
      </c>
      <c r="E9" s="12">
        <f>$C9*Supuestos!D$31</f>
        <v/>
      </c>
      <c r="F9" s="12">
        <f>$C9*Supuestos!E$31</f>
        <v/>
      </c>
      <c r="G9" s="12">
        <f>$C9*Supuestos!F$31</f>
        <v/>
      </c>
      <c r="H9" s="12">
        <f>$C9*Supuestos!G$31</f>
        <v/>
      </c>
      <c r="I9" s="12">
        <f>$C9*Supuestos!H$31</f>
        <v/>
      </c>
      <c r="J9" s="12">
        <f>$C9*Supuestos!I$31</f>
        <v/>
      </c>
      <c r="K9" s="12">
        <f>SUM(D9:J9)-C9</f>
        <v/>
      </c>
    </row>
    <row r="10">
      <c r="B10" s="13">
        <f>'MP Cyber 2026'!B37</f>
        <v/>
      </c>
      <c r="C10" s="17">
        <f>'MP Cyber 2026'!F37</f>
        <v/>
      </c>
      <c r="D10" s="17">
        <f>$C10*Supuestos!C$31</f>
        <v/>
      </c>
      <c r="E10" s="17">
        <f>$C10*Supuestos!D$31</f>
        <v/>
      </c>
      <c r="F10" s="17">
        <f>$C10*Supuestos!E$31</f>
        <v/>
      </c>
      <c r="G10" s="17">
        <f>$C10*Supuestos!F$31</f>
        <v/>
      </c>
      <c r="H10" s="17">
        <f>$C10*Supuestos!G$31</f>
        <v/>
      </c>
      <c r="I10" s="17">
        <f>$C10*Supuestos!H$31</f>
        <v/>
      </c>
      <c r="J10" s="17">
        <f>$C10*Supuestos!I$31</f>
        <v/>
      </c>
      <c r="K10" s="17">
        <f>SUM(D10:J10)-C10</f>
        <v/>
      </c>
    </row>
    <row r="11">
      <c r="B11" s="7">
        <f>'MP Cyber 2026'!B38</f>
        <v/>
      </c>
      <c r="C11" s="12">
        <f>'MP Cyber 2026'!F38</f>
        <v/>
      </c>
      <c r="D11" s="12">
        <f>$C11*Supuestos!C$31</f>
        <v/>
      </c>
      <c r="E11" s="12">
        <f>$C11*Supuestos!D$31</f>
        <v/>
      </c>
      <c r="F11" s="12">
        <f>$C11*Supuestos!E$31</f>
        <v/>
      </c>
      <c r="G11" s="12">
        <f>$C11*Supuestos!F$31</f>
        <v/>
      </c>
      <c r="H11" s="12">
        <f>$C11*Supuestos!G$31</f>
        <v/>
      </c>
      <c r="I11" s="12">
        <f>$C11*Supuestos!H$31</f>
        <v/>
      </c>
      <c r="J11" s="12">
        <f>$C11*Supuestos!I$31</f>
        <v/>
      </c>
      <c r="K11" s="12">
        <f>SUM(D11:J11)-C11</f>
        <v/>
      </c>
    </row>
    <row r="12">
      <c r="B12" s="13">
        <f>'MP Cyber 2026'!B39</f>
        <v/>
      </c>
      <c r="C12" s="17">
        <f>'MP Cyber 2026'!F39</f>
        <v/>
      </c>
      <c r="D12" s="17">
        <f>$C12*Supuestos!C$31</f>
        <v/>
      </c>
      <c r="E12" s="17">
        <f>$C12*Supuestos!D$31</f>
        <v/>
      </c>
      <c r="F12" s="17">
        <f>$C12*Supuestos!E$31</f>
        <v/>
      </c>
      <c r="G12" s="17">
        <f>$C12*Supuestos!F$31</f>
        <v/>
      </c>
      <c r="H12" s="17">
        <f>$C12*Supuestos!G$31</f>
        <v/>
      </c>
      <c r="I12" s="17">
        <f>$C12*Supuestos!H$31</f>
        <v/>
      </c>
      <c r="J12" s="17">
        <f>$C12*Supuestos!I$31</f>
        <v/>
      </c>
      <c r="K12" s="17">
        <f>SUM(D12:J12)-C12</f>
        <v/>
      </c>
    </row>
    <row r="13">
      <c r="B13" s="18" t="inlineStr">
        <is>
          <t>Subtotal Auto</t>
        </is>
      </c>
      <c r="C13" s="22">
        <f>SUM(C9:C12)</f>
        <v/>
      </c>
      <c r="D13" s="22">
        <f>SUM(D9:D12)</f>
        <v/>
      </c>
      <c r="E13" s="22">
        <f>SUM(E9:E12)</f>
        <v/>
      </c>
      <c r="F13" s="22">
        <f>SUM(F9:F12)</f>
        <v/>
      </c>
      <c r="G13" s="22">
        <f>SUM(G9:G12)</f>
        <v/>
      </c>
      <c r="H13" s="22">
        <f>SUM(H9:H12)</f>
        <v/>
      </c>
      <c r="I13" s="22">
        <f>SUM(I9:I12)</f>
        <v/>
      </c>
      <c r="J13" s="22">
        <f>SUM(J9:J12)</f>
        <v/>
      </c>
      <c r="K13" s="22">
        <f>SUM(K9:K12)</f>
        <v/>
      </c>
    </row>
    <row r="15">
      <c r="B15" s="27" t="inlineStr">
        <is>
          <t xml:space="preserve">  Performance Moto</t>
        </is>
      </c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>
      <c r="B16" s="6" t="inlineStr">
        <is>
          <t>Campaña</t>
        </is>
      </c>
      <c r="C16" s="6" t="inlineStr">
        <is>
          <t>Inversión</t>
        </is>
      </c>
      <c r="D16" s="41">
        <f>Supuestos!C30</f>
        <v/>
      </c>
      <c r="E16" s="41">
        <f>Supuestos!D30</f>
        <v/>
      </c>
      <c r="F16" s="41">
        <f>Supuestos!E30</f>
        <v/>
      </c>
      <c r="G16" s="41">
        <f>Supuestos!F30</f>
        <v/>
      </c>
      <c r="H16" s="41">
        <f>Supuestos!G30</f>
        <v/>
      </c>
      <c r="I16" s="41">
        <f>Supuestos!H30</f>
        <v/>
      </c>
      <c r="J16" s="41">
        <f>Supuestos!I30</f>
        <v/>
      </c>
      <c r="K16" s="6" t="inlineStr">
        <is>
          <t>Control</t>
        </is>
      </c>
    </row>
    <row r="17">
      <c r="B17" s="7">
        <f>'MP Cyber 2026'!B44</f>
        <v/>
      </c>
      <c r="C17" s="12">
        <f>'MP Cyber 2026'!F44</f>
        <v/>
      </c>
      <c r="D17" s="12">
        <f>$C17*Supuestos!C$31</f>
        <v/>
      </c>
      <c r="E17" s="12">
        <f>$C17*Supuestos!D$31</f>
        <v/>
      </c>
      <c r="F17" s="12">
        <f>$C17*Supuestos!E$31</f>
        <v/>
      </c>
      <c r="G17" s="12">
        <f>$C17*Supuestos!F$31</f>
        <v/>
      </c>
      <c r="H17" s="12">
        <f>$C17*Supuestos!G$31</f>
        <v/>
      </c>
      <c r="I17" s="12">
        <f>$C17*Supuestos!H$31</f>
        <v/>
      </c>
      <c r="J17" s="12">
        <f>$C17*Supuestos!I$31</f>
        <v/>
      </c>
      <c r="K17" s="12">
        <f>SUM(D17:J17)-C17</f>
        <v/>
      </c>
    </row>
    <row r="18">
      <c r="B18" s="13">
        <f>'MP Cyber 2026'!B45</f>
        <v/>
      </c>
      <c r="C18" s="17">
        <f>'MP Cyber 2026'!F45</f>
        <v/>
      </c>
      <c r="D18" s="17">
        <f>$C18*Supuestos!C$31</f>
        <v/>
      </c>
      <c r="E18" s="17">
        <f>$C18*Supuestos!D$31</f>
        <v/>
      </c>
      <c r="F18" s="17">
        <f>$C18*Supuestos!E$31</f>
        <v/>
      </c>
      <c r="G18" s="17">
        <f>$C18*Supuestos!F$31</f>
        <v/>
      </c>
      <c r="H18" s="17">
        <f>$C18*Supuestos!G$31</f>
        <v/>
      </c>
      <c r="I18" s="17">
        <f>$C18*Supuestos!H$31</f>
        <v/>
      </c>
      <c r="J18" s="17">
        <f>$C18*Supuestos!I$31</f>
        <v/>
      </c>
      <c r="K18" s="17">
        <f>SUM(D18:J18)-C18</f>
        <v/>
      </c>
    </row>
    <row r="19">
      <c r="B19" s="7">
        <f>'MP Cyber 2026'!B46</f>
        <v/>
      </c>
      <c r="C19" s="12">
        <f>'MP Cyber 2026'!F46</f>
        <v/>
      </c>
      <c r="D19" s="12">
        <f>$C19*Supuestos!C$31</f>
        <v/>
      </c>
      <c r="E19" s="12">
        <f>$C19*Supuestos!D$31</f>
        <v/>
      </c>
      <c r="F19" s="12">
        <f>$C19*Supuestos!E$31</f>
        <v/>
      </c>
      <c r="G19" s="12">
        <f>$C19*Supuestos!F$31</f>
        <v/>
      </c>
      <c r="H19" s="12">
        <f>$C19*Supuestos!G$31</f>
        <v/>
      </c>
      <c r="I19" s="12">
        <f>$C19*Supuestos!H$31</f>
        <v/>
      </c>
      <c r="J19" s="12">
        <f>$C19*Supuestos!I$31</f>
        <v/>
      </c>
      <c r="K19" s="12">
        <f>SUM(D19:J19)-C19</f>
        <v/>
      </c>
    </row>
    <row r="20">
      <c r="B20" s="13">
        <f>'MP Cyber 2026'!B47</f>
        <v/>
      </c>
      <c r="C20" s="17">
        <f>'MP Cyber 2026'!F47</f>
        <v/>
      </c>
      <c r="D20" s="17">
        <f>$C20*Supuestos!C$31</f>
        <v/>
      </c>
      <c r="E20" s="17">
        <f>$C20*Supuestos!D$31</f>
        <v/>
      </c>
      <c r="F20" s="17">
        <f>$C20*Supuestos!E$31</f>
        <v/>
      </c>
      <c r="G20" s="17">
        <f>$C20*Supuestos!F$31</f>
        <v/>
      </c>
      <c r="H20" s="17">
        <f>$C20*Supuestos!G$31</f>
        <v/>
      </c>
      <c r="I20" s="17">
        <f>$C20*Supuestos!H$31</f>
        <v/>
      </c>
      <c r="J20" s="17">
        <f>$C20*Supuestos!I$31</f>
        <v/>
      </c>
      <c r="K20" s="17">
        <f>SUM(D20:J20)-C20</f>
        <v/>
      </c>
    </row>
    <row r="21">
      <c r="B21" s="18" t="inlineStr">
        <is>
          <t>Subtotal Moto</t>
        </is>
      </c>
      <c r="C21" s="22">
        <f>SUM(C17:C20)</f>
        <v/>
      </c>
      <c r="D21" s="22">
        <f>SUM(D17:D20)</f>
        <v/>
      </c>
      <c r="E21" s="22">
        <f>SUM(E17:E20)</f>
        <v/>
      </c>
      <c r="F21" s="22">
        <f>SUM(F17:F20)</f>
        <v/>
      </c>
      <c r="G21" s="22">
        <f>SUM(G17:G20)</f>
        <v/>
      </c>
      <c r="H21" s="22">
        <f>SUM(H17:H20)</f>
        <v/>
      </c>
      <c r="I21" s="22">
        <f>SUM(I17:I20)</f>
        <v/>
      </c>
      <c r="J21" s="22">
        <f>SUM(J17:J20)</f>
        <v/>
      </c>
      <c r="K21" s="22">
        <f>SUM(K17:K20)</f>
        <v/>
      </c>
    </row>
    <row r="23">
      <c r="B23" s="27" t="inlineStr">
        <is>
          <t xml:space="preserve">  Performance Movilidad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>
      <c r="B24" s="6" t="inlineStr">
        <is>
          <t>Campaña</t>
        </is>
      </c>
      <c r="C24" s="6" t="inlineStr">
        <is>
          <t>Inversión</t>
        </is>
      </c>
      <c r="D24" s="41">
        <f>Supuestos!C30</f>
        <v/>
      </c>
      <c r="E24" s="41">
        <f>Supuestos!D30</f>
        <v/>
      </c>
      <c r="F24" s="41">
        <f>Supuestos!E30</f>
        <v/>
      </c>
      <c r="G24" s="41">
        <f>Supuestos!F30</f>
        <v/>
      </c>
      <c r="H24" s="41">
        <f>Supuestos!G30</f>
        <v/>
      </c>
      <c r="I24" s="41">
        <f>Supuestos!H30</f>
        <v/>
      </c>
      <c r="J24" s="41">
        <f>Supuestos!I30</f>
        <v/>
      </c>
      <c r="K24" s="6" t="inlineStr">
        <is>
          <t>Control</t>
        </is>
      </c>
    </row>
    <row r="25">
      <c r="B25" s="7">
        <f>'MP Cyber 2026'!B52</f>
        <v/>
      </c>
      <c r="C25" s="12">
        <f>'MP Cyber 2026'!F52</f>
        <v/>
      </c>
      <c r="D25" s="12">
        <f>$C25*Supuestos!C$31</f>
        <v/>
      </c>
      <c r="E25" s="12">
        <f>$C25*Supuestos!D$31</f>
        <v/>
      </c>
      <c r="F25" s="12">
        <f>$C25*Supuestos!E$31</f>
        <v/>
      </c>
      <c r="G25" s="12">
        <f>$C25*Supuestos!F$31</f>
        <v/>
      </c>
      <c r="H25" s="12">
        <f>$C25*Supuestos!G$31</f>
        <v/>
      </c>
      <c r="I25" s="12">
        <f>$C25*Supuestos!H$31</f>
        <v/>
      </c>
      <c r="J25" s="12">
        <f>$C25*Supuestos!I$31</f>
        <v/>
      </c>
      <c r="K25" s="12">
        <f>SUM(D25:J25)-C25</f>
        <v/>
      </c>
    </row>
    <row r="26">
      <c r="B26" s="13">
        <f>'MP Cyber 2026'!B53</f>
        <v/>
      </c>
      <c r="C26" s="17">
        <f>'MP Cyber 2026'!F53</f>
        <v/>
      </c>
      <c r="D26" s="17">
        <f>$C26*Supuestos!C$31</f>
        <v/>
      </c>
      <c r="E26" s="17">
        <f>$C26*Supuestos!D$31</f>
        <v/>
      </c>
      <c r="F26" s="17">
        <f>$C26*Supuestos!E$31</f>
        <v/>
      </c>
      <c r="G26" s="17">
        <f>$C26*Supuestos!F$31</f>
        <v/>
      </c>
      <c r="H26" s="17">
        <f>$C26*Supuestos!G$31</f>
        <v/>
      </c>
      <c r="I26" s="17">
        <f>$C26*Supuestos!H$31</f>
        <v/>
      </c>
      <c r="J26" s="17">
        <f>$C26*Supuestos!I$31</f>
        <v/>
      </c>
      <c r="K26" s="17">
        <f>SUM(D26:J26)-C26</f>
        <v/>
      </c>
    </row>
    <row r="27">
      <c r="B27" s="7">
        <f>'MP Cyber 2026'!B54</f>
        <v/>
      </c>
      <c r="C27" s="12">
        <f>'MP Cyber 2026'!F54</f>
        <v/>
      </c>
      <c r="D27" s="12">
        <f>$C27*Supuestos!C$31</f>
        <v/>
      </c>
      <c r="E27" s="12">
        <f>$C27*Supuestos!D$31</f>
        <v/>
      </c>
      <c r="F27" s="12">
        <f>$C27*Supuestos!E$31</f>
        <v/>
      </c>
      <c r="G27" s="12">
        <f>$C27*Supuestos!F$31</f>
        <v/>
      </c>
      <c r="H27" s="12">
        <f>$C27*Supuestos!G$31</f>
        <v/>
      </c>
      <c r="I27" s="12">
        <f>$C27*Supuestos!H$31</f>
        <v/>
      </c>
      <c r="J27" s="12">
        <f>$C27*Supuestos!I$31</f>
        <v/>
      </c>
      <c r="K27" s="12">
        <f>SUM(D27:J27)-C27</f>
        <v/>
      </c>
    </row>
    <row r="28">
      <c r="B28" s="13">
        <f>'MP Cyber 2026'!B55</f>
        <v/>
      </c>
      <c r="C28" s="17">
        <f>'MP Cyber 2026'!F55</f>
        <v/>
      </c>
      <c r="D28" s="17">
        <f>$C28*Supuestos!C$31</f>
        <v/>
      </c>
      <c r="E28" s="17">
        <f>$C28*Supuestos!D$31</f>
        <v/>
      </c>
      <c r="F28" s="17">
        <f>$C28*Supuestos!E$31</f>
        <v/>
      </c>
      <c r="G28" s="17">
        <f>$C28*Supuestos!F$31</f>
        <v/>
      </c>
      <c r="H28" s="17">
        <f>$C28*Supuestos!G$31</f>
        <v/>
      </c>
      <c r="I28" s="17">
        <f>$C28*Supuestos!H$31</f>
        <v/>
      </c>
      <c r="J28" s="17">
        <f>$C28*Supuestos!I$31</f>
        <v/>
      </c>
      <c r="K28" s="17">
        <f>SUM(D28:J28)-C28</f>
        <v/>
      </c>
    </row>
    <row r="29">
      <c r="B29" s="18" t="inlineStr">
        <is>
          <t>Subtotal Movilidad</t>
        </is>
      </c>
      <c r="C29" s="22">
        <f>SUM(C25:C28)</f>
        <v/>
      </c>
      <c r="D29" s="22">
        <f>SUM(D25:D28)</f>
        <v/>
      </c>
      <c r="E29" s="22">
        <f>SUM(E25:E28)</f>
        <v/>
      </c>
      <c r="F29" s="22">
        <f>SUM(F25:F28)</f>
        <v/>
      </c>
      <c r="G29" s="22">
        <f>SUM(G25:G28)</f>
        <v/>
      </c>
      <c r="H29" s="22">
        <f>SUM(H25:H28)</f>
        <v/>
      </c>
      <c r="I29" s="22">
        <f>SUM(I25:I28)</f>
        <v/>
      </c>
      <c r="J29" s="22">
        <f>SUM(J25:J28)</f>
        <v/>
      </c>
      <c r="K29" s="22">
        <f>SUM(K25:K28)</f>
        <v/>
      </c>
    </row>
    <row r="31">
      <c r="B31" s="27" t="inlineStr">
        <is>
          <t xml:space="preserve">  Performance Hogar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>
      <c r="B32" s="6" t="inlineStr">
        <is>
          <t>Campaña</t>
        </is>
      </c>
      <c r="C32" s="6" t="inlineStr">
        <is>
          <t>Inversión</t>
        </is>
      </c>
      <c r="D32" s="41">
        <f>Supuestos!C30</f>
        <v/>
      </c>
      <c r="E32" s="41">
        <f>Supuestos!D30</f>
        <v/>
      </c>
      <c r="F32" s="41">
        <f>Supuestos!E30</f>
        <v/>
      </c>
      <c r="G32" s="41">
        <f>Supuestos!F30</f>
        <v/>
      </c>
      <c r="H32" s="41">
        <f>Supuestos!G30</f>
        <v/>
      </c>
      <c r="I32" s="41">
        <f>Supuestos!H30</f>
        <v/>
      </c>
      <c r="J32" s="41">
        <f>Supuestos!I30</f>
        <v/>
      </c>
      <c r="K32" s="6" t="inlineStr">
        <is>
          <t>Control</t>
        </is>
      </c>
    </row>
    <row r="33">
      <c r="B33" s="7">
        <f>'MP Cyber 2026'!B60</f>
        <v/>
      </c>
      <c r="C33" s="12">
        <f>'MP Cyber 2026'!F60</f>
        <v/>
      </c>
      <c r="D33" s="12">
        <f>$C33*Supuestos!C$31</f>
        <v/>
      </c>
      <c r="E33" s="12">
        <f>$C33*Supuestos!D$31</f>
        <v/>
      </c>
      <c r="F33" s="12">
        <f>$C33*Supuestos!E$31</f>
        <v/>
      </c>
      <c r="G33" s="12">
        <f>$C33*Supuestos!F$31</f>
        <v/>
      </c>
      <c r="H33" s="12">
        <f>$C33*Supuestos!G$31</f>
        <v/>
      </c>
      <c r="I33" s="12">
        <f>$C33*Supuestos!H$31</f>
        <v/>
      </c>
      <c r="J33" s="12">
        <f>$C33*Supuestos!I$31</f>
        <v/>
      </c>
      <c r="K33" s="12">
        <f>SUM(D33:J33)-C33</f>
        <v/>
      </c>
    </row>
    <row r="34">
      <c r="B34" s="13">
        <f>'MP Cyber 2026'!B61</f>
        <v/>
      </c>
      <c r="C34" s="17">
        <f>'MP Cyber 2026'!F61</f>
        <v/>
      </c>
      <c r="D34" s="17">
        <f>$C34*Supuestos!C$31</f>
        <v/>
      </c>
      <c r="E34" s="17">
        <f>$C34*Supuestos!D$31</f>
        <v/>
      </c>
      <c r="F34" s="17">
        <f>$C34*Supuestos!E$31</f>
        <v/>
      </c>
      <c r="G34" s="17">
        <f>$C34*Supuestos!F$31</f>
        <v/>
      </c>
      <c r="H34" s="17">
        <f>$C34*Supuestos!G$31</f>
        <v/>
      </c>
      <c r="I34" s="17">
        <f>$C34*Supuestos!H$31</f>
        <v/>
      </c>
      <c r="J34" s="17">
        <f>$C34*Supuestos!I$31</f>
        <v/>
      </c>
      <c r="K34" s="17">
        <f>SUM(D34:J34)-C34</f>
        <v/>
      </c>
    </row>
    <row r="35">
      <c r="B35" s="7">
        <f>'MP Cyber 2026'!B62</f>
        <v/>
      </c>
      <c r="C35" s="12">
        <f>'MP Cyber 2026'!F62</f>
        <v/>
      </c>
      <c r="D35" s="12">
        <f>$C35*Supuestos!C$31</f>
        <v/>
      </c>
      <c r="E35" s="12">
        <f>$C35*Supuestos!D$31</f>
        <v/>
      </c>
      <c r="F35" s="12">
        <f>$C35*Supuestos!E$31</f>
        <v/>
      </c>
      <c r="G35" s="12">
        <f>$C35*Supuestos!F$31</f>
        <v/>
      </c>
      <c r="H35" s="12">
        <f>$C35*Supuestos!G$31</f>
        <v/>
      </c>
      <c r="I35" s="12">
        <f>$C35*Supuestos!H$31</f>
        <v/>
      </c>
      <c r="J35" s="12">
        <f>$C35*Supuestos!I$31</f>
        <v/>
      </c>
      <c r="K35" s="12">
        <f>SUM(D35:J35)-C35</f>
        <v/>
      </c>
    </row>
    <row r="36">
      <c r="B36" s="18" t="inlineStr">
        <is>
          <t>Subtotal Hogar</t>
        </is>
      </c>
      <c r="C36" s="22">
        <f>SUM(C33:C35)</f>
        <v/>
      </c>
      <c r="D36" s="22">
        <f>SUM(D33:D35)</f>
        <v/>
      </c>
      <c r="E36" s="22">
        <f>SUM(E33:E35)</f>
        <v/>
      </c>
      <c r="F36" s="22">
        <f>SUM(F33:F35)</f>
        <v/>
      </c>
      <c r="G36" s="22">
        <f>SUM(G33:G35)</f>
        <v/>
      </c>
      <c r="H36" s="22">
        <f>SUM(H33:H35)</f>
        <v/>
      </c>
      <c r="I36" s="22">
        <f>SUM(I33:I35)</f>
        <v/>
      </c>
      <c r="J36" s="22">
        <f>SUM(J33:J35)</f>
        <v/>
      </c>
      <c r="K36" s="22">
        <f>SUM(K33:K35)</f>
        <v/>
      </c>
    </row>
    <row r="38">
      <c r="B38" s="4" t="inlineStr">
        <is>
          <t>TEASER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B39" s="6" t="inlineStr">
        <is>
          <t>Campaña</t>
        </is>
      </c>
      <c r="C39" s="6" t="inlineStr">
        <is>
          <t>Inversión</t>
        </is>
      </c>
      <c r="D39" s="6" t="inlineStr">
        <is>
          <t>Inicio</t>
        </is>
      </c>
      <c r="E39" s="6" t="inlineStr">
        <is>
          <t>Fin</t>
        </is>
      </c>
      <c r="F39" s="6" t="inlineStr">
        <is>
          <t>Días</t>
        </is>
      </c>
      <c r="G39" s="6" t="inlineStr">
        <is>
          <t>Por día</t>
        </is>
      </c>
      <c r="H39" s="6" t="inlineStr"/>
      <c r="I39" s="6" t="inlineStr"/>
      <c r="J39" s="6" t="inlineStr"/>
      <c r="K39" s="6" t="inlineStr"/>
    </row>
    <row r="40">
      <c r="B40" s="7">
        <f>'MP Cyber 2026'!B30</f>
        <v/>
      </c>
      <c r="C40" s="12">
        <f>'MP Cyber 2026'!F30</f>
        <v/>
      </c>
      <c r="D40" s="24">
        <f>Supuestos!$C$8</f>
        <v/>
      </c>
      <c r="E40" s="24">
        <f>Supuestos!$D$8</f>
        <v/>
      </c>
      <c r="F40" s="11">
        <f>Supuestos!$E$8</f>
        <v/>
      </c>
      <c r="G40" s="12">
        <f>IFERROR(C40/F40,"")</f>
        <v/>
      </c>
    </row>
    <row r="41">
      <c r="B41" s="13">
        <f>'MP Cyber 2026'!B31</f>
        <v/>
      </c>
      <c r="C41" s="17">
        <f>'MP Cyber 2026'!F31</f>
        <v/>
      </c>
      <c r="D41" s="42">
        <f>Supuestos!$C$8</f>
        <v/>
      </c>
      <c r="E41" s="42">
        <f>Supuestos!$D$8</f>
        <v/>
      </c>
      <c r="F41" s="16">
        <f>Supuestos!$E$8</f>
        <v/>
      </c>
      <c r="G41" s="17">
        <f>IFERROR(C41/F41,"")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3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zenda.</t>
        </is>
      </c>
    </row>
    <row r="3">
      <c r="B3" s="2" t="inlineStr">
        <is>
          <t>Sancor Seguros  |  Media Plan Cyber Monday 2026 · Supuestos</t>
        </is>
      </c>
    </row>
    <row r="4">
      <c r="B4" s="3" t="inlineStr">
        <is>
          <t>Celdas en rosa: datos de ejemplo, pendientes de confirmar con el cliente. Texto azul: dato cargado a mano. Negro: fórmula.</t>
        </is>
      </c>
    </row>
    <row r="6">
      <c r="B6" s="4" t="inlineStr">
        <is>
          <t>FECHAS</t>
        </is>
      </c>
      <c r="C6" s="5" t="n"/>
      <c r="D6" s="5" t="n"/>
      <c r="E6" s="5" t="n"/>
    </row>
    <row r="7">
      <c r="B7" s="6" t="inlineStr">
        <is>
          <t>Etapa</t>
        </is>
      </c>
      <c r="C7" s="6" t="inlineStr">
        <is>
          <t>Inicio</t>
        </is>
      </c>
      <c r="D7" s="6" t="inlineStr">
        <is>
          <t>Fin</t>
        </is>
      </c>
      <c r="E7" s="6" t="inlineStr">
        <is>
          <t>Días</t>
        </is>
      </c>
    </row>
    <row r="8">
      <c r="B8" s="7" t="inlineStr">
        <is>
          <t>Teaser</t>
        </is>
      </c>
      <c r="C8" s="43" t="n">
        <v>46323</v>
      </c>
      <c r="D8" s="43" t="n">
        <v>46327</v>
      </c>
      <c r="E8" s="11">
        <f>D8-C8+1</f>
        <v/>
      </c>
    </row>
    <row r="9">
      <c r="B9" s="7" t="inlineStr">
        <is>
          <t>Cyber Monday + Cyber Week</t>
        </is>
      </c>
      <c r="C9" s="43" t="n">
        <v>46328</v>
      </c>
      <c r="D9" s="43" t="n">
        <v>46334</v>
      </c>
      <c r="E9" s="11">
        <f>D9-C9+1</f>
        <v/>
      </c>
    </row>
    <row r="11">
      <c r="B11" s="4" t="inlineStr">
        <is>
          <t>PRESUPUESTO POR PRODUCTO</t>
        </is>
      </c>
      <c r="C11" s="5" t="n"/>
      <c r="D11" s="5" t="n"/>
      <c r="E11" s="5" t="n"/>
    </row>
    <row r="12">
      <c r="B12" s="6" t="inlineStr">
        <is>
          <t>Producto</t>
        </is>
      </c>
      <c r="C12" s="6" t="inlineStr">
        <is>
          <t>Etapa</t>
        </is>
      </c>
      <c r="D12" s="6" t="inlineStr">
        <is>
          <t>Inversión</t>
        </is>
      </c>
      <c r="E12" s="6" t="inlineStr">
        <is>
          <t>% del total</t>
        </is>
      </c>
    </row>
    <row r="13">
      <c r="B13" s="7" t="inlineStr">
        <is>
          <t>Teaser</t>
        </is>
      </c>
      <c r="C13" s="7" t="inlineStr">
        <is>
          <t>Teaser</t>
        </is>
      </c>
      <c r="D13" s="44" t="n">
        <v>325000</v>
      </c>
      <c r="E13" s="9">
        <f>IFERROR(D13/$D$18,"")</f>
        <v/>
      </c>
    </row>
    <row r="14">
      <c r="B14" s="7" t="inlineStr">
        <is>
          <t>Auto</t>
        </is>
      </c>
      <c r="C14" s="7" t="inlineStr">
        <is>
          <t>Performance</t>
        </is>
      </c>
      <c r="D14" s="44" t="n">
        <v>5700000</v>
      </c>
      <c r="E14" s="9">
        <f>IFERROR(D14/$D$18,"")</f>
        <v/>
      </c>
    </row>
    <row r="15">
      <c r="B15" s="7" t="inlineStr">
        <is>
          <t>Moto</t>
        </is>
      </c>
      <c r="C15" s="7" t="inlineStr">
        <is>
          <t>Performance</t>
        </is>
      </c>
      <c r="D15" s="44" t="n">
        <v>1500000</v>
      </c>
      <c r="E15" s="9">
        <f>IFERROR(D15/$D$18,"")</f>
        <v/>
      </c>
    </row>
    <row r="16">
      <c r="B16" s="7" t="inlineStr">
        <is>
          <t>Movilidad</t>
        </is>
      </c>
      <c r="C16" s="7" t="inlineStr">
        <is>
          <t>Performance</t>
        </is>
      </c>
      <c r="D16" s="44" t="n">
        <v>980000</v>
      </c>
      <c r="E16" s="9">
        <f>IFERROR(D16/$D$18,"")</f>
        <v/>
      </c>
    </row>
    <row r="17">
      <c r="B17" s="7" t="inlineStr">
        <is>
          <t>Hogar</t>
        </is>
      </c>
      <c r="C17" s="7" t="inlineStr">
        <is>
          <t>Performance</t>
        </is>
      </c>
      <c r="D17" s="44" t="n">
        <v>910000</v>
      </c>
      <c r="E17" s="9">
        <f>IFERROR(D17/$D$18,"")</f>
        <v/>
      </c>
    </row>
    <row r="18">
      <c r="B18" s="18" t="inlineStr">
        <is>
          <t>TOTAL</t>
        </is>
      </c>
      <c r="C18" s="23" t="n"/>
      <c r="D18" s="19">
        <f>SUM(D13:D17)</f>
        <v/>
      </c>
      <c r="E18" s="20">
        <f>SUM(E13:E17)</f>
        <v/>
      </c>
    </row>
    <row r="20">
      <c r="B20" s="4" t="inlineStr">
        <is>
          <t>REFERENCIA CYBER 2025 Y AJUSTE DE CONVERSIONES</t>
        </is>
      </c>
      <c r="C20" s="5" t="n"/>
      <c r="D20" s="5" t="n"/>
      <c r="E20" s="5" t="n"/>
      <c r="F20" s="5" t="n"/>
      <c r="G20" s="5" t="n"/>
    </row>
    <row r="21">
      <c r="B21" s="6" t="inlineStr">
        <is>
          <t>Producto</t>
        </is>
      </c>
      <c r="C21" s="6" t="inlineStr">
        <is>
          <t>Conv. proyectadas 2025</t>
        </is>
      </c>
      <c r="D21" s="6" t="inlineStr">
        <is>
          <t>Conv. reales 2025</t>
        </is>
      </c>
      <c r="E21" s="6" t="inlineStr">
        <is>
          <t>Cumplimiento 2025</t>
        </is>
      </c>
      <c r="F21" s="6" t="inlineStr">
        <is>
          <t>Ajuste 2026</t>
        </is>
      </c>
      <c r="G21" s="6" t="inlineStr">
        <is>
          <t>Comentario</t>
        </is>
      </c>
    </row>
    <row r="22">
      <c r="B22" s="7" t="inlineStr">
        <is>
          <t>Auto</t>
        </is>
      </c>
      <c r="C22" s="45" t="n">
        <v>215</v>
      </c>
      <c r="D22" s="45" t="n">
        <v>169.24</v>
      </c>
      <c r="E22" s="9">
        <f>IFERROR(D22/C22,"")</f>
        <v/>
      </c>
      <c r="F22" s="9">
        <f>MIN(1,E22)</f>
        <v/>
      </c>
      <c r="G22" s="46" t="inlineStr">
        <is>
          <t>Por defecto, el cumplimiento 2025 (tope 100 %). Se puede pisar a mano.</t>
        </is>
      </c>
    </row>
    <row r="23">
      <c r="B23" s="7" t="inlineStr">
        <is>
          <t>Moto</t>
        </is>
      </c>
      <c r="C23" s="45" t="n">
        <v>243</v>
      </c>
      <c r="D23" s="45" t="n">
        <v>234.71</v>
      </c>
      <c r="E23" s="9">
        <f>IFERROR(D23/C23,"")</f>
        <v/>
      </c>
      <c r="F23" s="9">
        <f>MIN(1,E23)</f>
        <v/>
      </c>
      <c r="G23" s="46" t="inlineStr">
        <is>
          <t>Por defecto, el cumplimiento 2025 (tope 100 %). Se puede pisar a mano.</t>
        </is>
      </c>
    </row>
    <row r="24">
      <c r="B24" s="7" t="inlineStr">
        <is>
          <t>Movilidad</t>
        </is>
      </c>
      <c r="C24" s="45" t="n">
        <v>84</v>
      </c>
      <c r="D24" s="45" t="n">
        <v>55.61</v>
      </c>
      <c r="E24" s="9">
        <f>IFERROR(D24/C24,"")</f>
        <v/>
      </c>
      <c r="F24" s="9">
        <f>MIN(1,E24)</f>
        <v/>
      </c>
      <c r="G24" s="46" t="inlineStr">
        <is>
          <t>Por defecto, el cumplimiento 2025 (tope 100 %). Se puede pisar a mano.</t>
        </is>
      </c>
    </row>
    <row r="25">
      <c r="B25" s="7" t="inlineStr">
        <is>
          <t>Hogar</t>
        </is>
      </c>
      <c r="C25" s="45" t="n">
        <v>16</v>
      </c>
      <c r="D25" s="45" t="n">
        <v>10</v>
      </c>
      <c r="E25" s="9">
        <f>IFERROR(D25/C25,"")</f>
        <v/>
      </c>
      <c r="F25" s="9">
        <f>MIN(1,E25)</f>
        <v/>
      </c>
      <c r="G25" s="46" t="inlineStr">
        <is>
          <t>Por defecto, el cumplimiento 2025 (tope 100 %). Se puede pisar a mano.</t>
        </is>
      </c>
    </row>
    <row r="26">
      <c r="B26" s="3" t="inlineStr">
        <is>
          <t>Fuente: hoja "Conversiones - Plataforma" del MP Cyber 2025. El ajuste multiplica la Conv. Rate del mes anterior.</t>
        </is>
      </c>
    </row>
    <row r="28">
      <c r="B28" s="4" t="inlineStr">
        <is>
          <t>DISTRIBUCIÓN DIARIA DE LA SEMANA CYBER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B29" s="6" t="inlineStr"/>
      <c r="C29" s="6" t="inlineStr">
        <is>
          <t>Día 1</t>
        </is>
      </c>
      <c r="D29" s="6" t="inlineStr">
        <is>
          <t>Día 2</t>
        </is>
      </c>
      <c r="E29" s="6" t="inlineStr">
        <is>
          <t>Día 3</t>
        </is>
      </c>
      <c r="F29" s="6" t="inlineStr">
        <is>
          <t>Día 4</t>
        </is>
      </c>
      <c r="G29" s="6" t="inlineStr">
        <is>
          <t>Día 5</t>
        </is>
      </c>
      <c r="H29" s="6" t="inlineStr">
        <is>
          <t>Día 6</t>
        </is>
      </c>
      <c r="I29" s="6" t="inlineStr">
        <is>
          <t>Día 7</t>
        </is>
      </c>
    </row>
    <row r="30">
      <c r="B30" s="7" t="inlineStr">
        <is>
          <t>Fecha</t>
        </is>
      </c>
      <c r="C30" s="47">
        <f>Supuestos!$C$9+0</f>
        <v/>
      </c>
      <c r="D30" s="47">
        <f>Supuestos!$C$9+1</f>
        <v/>
      </c>
      <c r="E30" s="47">
        <f>Supuestos!$C$9+2</f>
        <v/>
      </c>
      <c r="F30" s="47">
        <f>Supuestos!$C$9+3</f>
        <v/>
      </c>
      <c r="G30" s="47">
        <f>Supuestos!$C$9+4</f>
        <v/>
      </c>
      <c r="H30" s="47">
        <f>Supuestos!$C$9+5</f>
        <v/>
      </c>
      <c r="I30" s="47">
        <f>Supuestos!$C$9+6</f>
        <v/>
      </c>
    </row>
    <row r="31">
      <c r="B31" s="7" t="inlineStr">
        <is>
          <t>% de la inversión</t>
        </is>
      </c>
      <c r="C31" s="29" t="n">
        <v>0.17</v>
      </c>
      <c r="D31" s="29" t="n">
        <v>0.17</v>
      </c>
      <c r="E31" s="29" t="n">
        <v>0.16</v>
      </c>
      <c r="F31" s="29" t="n">
        <v>0.15</v>
      </c>
      <c r="G31" s="29" t="n">
        <v>0.13</v>
      </c>
      <c r="H31" s="29" t="n">
        <v>0.11</v>
      </c>
      <c r="I31" s="29" t="n">
        <v>0.11</v>
      </c>
    </row>
    <row r="32">
      <c r="B32" s="18" t="inlineStr">
        <is>
          <t>Control (debe dar 100 %)</t>
        </is>
      </c>
      <c r="C32" s="20">
        <f>SUM(C31:I31)</f>
        <v/>
      </c>
    </row>
    <row r="33">
      <c r="B33" s="3" t="inlineStr">
        <is>
          <t>Curva tomada del BGT Diario 2025. Si la semana cambia de largo, ajustar los días y que el control dé 100 %.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2026-10-09T13:55:52Z</dcterms:created>
  <dcterms:modified xmlns:dcterms="http://purl.org/dc/terms/" xmlns:xsi="http://www.w3.org/2001/XMLSchema-instance" xsi:type="dcterms:W3CDTF">2026-10-09T13:55:52Z</dcterms:modified>
</cp:coreProperties>
</file>