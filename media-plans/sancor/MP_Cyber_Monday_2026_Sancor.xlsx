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P" sheetId="1" state="visible" r:id="rId1"/>
    <sheet xmlns:r="http://schemas.openxmlformats.org/officeDocument/2006/relationships" name="BGT Diari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 #,##0"/>
    <numFmt numFmtId="165" formatCode="+0%;-0%;0%"/>
    <numFmt numFmtId="166" formatCode="yyyy-mm-dd"/>
    <numFmt numFmtId="167" formatCode="dd/mm/yyyy"/>
    <numFmt numFmtId="168" formatCode="ddd dd/mm"/>
    <numFmt numFmtId="169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2FA37A"/>
      <sz val="12"/>
    </font>
    <font>
      <name val="Calibri"/>
      <b val="1"/>
      <color rgb="000A0A0B"/>
      <sz val="18"/>
    </font>
    <font>
      <name val="Calibri"/>
      <b val="1"/>
      <color rgb="006B6B6E"/>
      <sz val="9"/>
    </font>
    <font>
      <name val="Calibri"/>
      <b val="1"/>
      <color rgb="000A0A0B"/>
      <sz val="20"/>
    </font>
    <font>
      <name val="Calibri"/>
      <color rgb="006B6B6E"/>
      <sz val="9"/>
    </font>
    <font>
      <name val="Calibri"/>
      <b val="1"/>
      <color rgb="00FFFFFF"/>
      <sz val="12"/>
    </font>
    <font>
      <name val="Calibri"/>
      <b val="1"/>
      <color rgb="000A0A0B"/>
      <sz val="10"/>
    </font>
    <font>
      <name val="Calibri"/>
      <color rgb="000A0A0B"/>
      <sz val="10"/>
    </font>
    <font>
      <name val="Calibri"/>
      <i val="1"/>
      <color rgb="006B6B6E"/>
      <sz val="9"/>
    </font>
    <font>
      <name val="Calibri"/>
      <b val="1"/>
      <color rgb="000A0A0B"/>
      <sz val="12"/>
    </font>
    <font>
      <name val="Calibri"/>
      <color rgb="001155CC"/>
      <sz val="10"/>
    </font>
  </fonts>
  <fills count="9">
    <fill>
      <patternFill/>
    </fill>
    <fill>
      <patternFill patternType="gray125"/>
    </fill>
    <fill>
      <patternFill patternType="solid">
        <fgColor rgb="00EAF7FB"/>
      </patternFill>
    </fill>
    <fill>
      <patternFill patternType="solid">
        <fgColor rgb="00EAF9F3"/>
      </patternFill>
    </fill>
    <fill>
      <patternFill patternType="solid">
        <fgColor rgb="00FDEAF5"/>
      </patternFill>
    </fill>
    <fill>
      <patternFill patternType="solid">
        <fgColor rgb="000A0A0B"/>
      </patternFill>
    </fill>
    <fill>
      <patternFill patternType="solid">
        <fgColor rgb="0059D7A2"/>
      </patternFill>
    </fill>
    <fill>
      <patternFill patternType="solid">
        <fgColor rgb="00F7F7F8"/>
      </patternFill>
    </fill>
    <fill>
      <patternFill patternType="solid">
        <fgColor rgb="0095D6EA"/>
      </patternFill>
    </fill>
  </fills>
  <borders count="3">
    <border>
      <left/>
      <right/>
      <top/>
      <bottom/>
      <diagonal/>
    </border>
    <border>
      <left style="thin">
        <color rgb="00E3E3E5"/>
      </left>
      <right style="thin">
        <color rgb="00E3E3E5"/>
      </right>
      <top style="thin">
        <color rgb="00E3E3E5"/>
      </top>
      <bottom style="thin">
        <color rgb="00E3E3E5"/>
      </bottom>
    </border>
    <border>
      <left style="thin">
        <color rgb="00E3E3E5"/>
      </left>
      <right style="thin">
        <color rgb="00E3E3E5"/>
      </right>
      <top style="medium">
        <color rgb="0059D7A2"/>
      </top>
      <bottom style="thin">
        <color rgb="00E3E3E5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4" fillId="2" borderId="0" applyAlignment="1" pivotButton="0" quotePrefix="0" xfId="0">
      <alignment horizontal="left" vertical="center" indent="1"/>
    </xf>
    <xf numFmtId="164" fontId="4" fillId="3" borderId="0" applyAlignment="1" pivotButton="0" quotePrefix="0" xfId="0">
      <alignment horizontal="left" vertical="center" indent="1"/>
    </xf>
    <xf numFmtId="3" fontId="4" fillId="4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5" fillId="4" borderId="0" applyAlignment="1" pivotButton="0" quotePrefix="0" xfId="0">
      <alignment horizontal="left" vertical="center" indent="1"/>
    </xf>
    <xf numFmtId="0" fontId="6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indent="1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 indent="1"/>
    </xf>
    <xf numFmtId="164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left" vertical="center" indent="1"/>
    </xf>
    <xf numFmtId="0" fontId="8" fillId="7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right" vertical="center"/>
    </xf>
    <xf numFmtId="3" fontId="8" fillId="7" borderId="1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7" fillId="3" borderId="1" applyAlignment="1" pivotButton="0" quotePrefix="0" xfId="0">
      <alignment horizontal="center" vertical="center"/>
    </xf>
    <xf numFmtId="164" fontId="7" fillId="3" borderId="1" applyAlignment="1" pivotButton="0" quotePrefix="0" xfId="0">
      <alignment horizontal="right" vertical="center"/>
    </xf>
    <xf numFmtId="10" fontId="8" fillId="0" borderId="1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indent="1"/>
    </xf>
    <xf numFmtId="0" fontId="8" fillId="0" borderId="1" applyAlignment="1" pivotButton="0" quotePrefix="0" xfId="0">
      <alignment horizontal="left" vertical="center" indent="1"/>
    </xf>
    <xf numFmtId="9" fontId="8" fillId="0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 indent="1"/>
    </xf>
    <xf numFmtId="9" fontId="8" fillId="7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 indent="1"/>
    </xf>
    <xf numFmtId="9" fontId="7" fillId="3" borderId="1" applyAlignment="1" pivotButton="0" quotePrefix="0" xfId="0">
      <alignment horizontal="right" vertical="center"/>
    </xf>
    <xf numFmtId="0" fontId="10" fillId="8" borderId="0" applyAlignment="1" pivotButton="0" quotePrefix="0" xfId="0">
      <alignment horizontal="left" vertical="center" indent="1"/>
    </xf>
    <xf numFmtId="0" fontId="0" fillId="8" borderId="0" pivotButton="0" quotePrefix="0" xfId="0"/>
    <xf numFmtId="164" fontId="11" fillId="2" borderId="1" applyAlignment="1" pivotButton="0" quotePrefix="0" xfId="0">
      <alignment horizontal="right" vertical="center"/>
    </xf>
    <xf numFmtId="10" fontId="8" fillId="7" borderId="1" applyAlignment="1" pivotButton="0" quotePrefix="0" xfId="0">
      <alignment horizontal="right" vertical="center"/>
    </xf>
    <xf numFmtId="3" fontId="7" fillId="3" borderId="1" applyAlignment="1" pivotButton="0" quotePrefix="0" xfId="0">
      <alignment horizontal="right" vertical="center"/>
    </xf>
    <xf numFmtId="10" fontId="7" fillId="3" borderId="1" applyAlignment="1" pivotButton="0" quotePrefix="0" xfId="0">
      <alignment horizontal="right" vertical="center"/>
    </xf>
    <xf numFmtId="9" fontId="11" fillId="2" borderId="1" applyAlignment="1" pivotButton="0" quotePrefix="0" xfId="0">
      <alignment horizontal="right" vertical="center"/>
    </xf>
    <xf numFmtId="167" fontId="11" fillId="2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169" fontId="8" fillId="7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right" vertical="center"/>
    </xf>
    <xf numFmtId="169" fontId="7" fillId="3" borderId="1" applyAlignment="1" pivotButton="0" quotePrefix="0" xfId="0">
      <alignment horizontal="center" vertical="center"/>
    </xf>
    <xf numFmtId="0" fontId="0" fillId="3" borderId="2" pivotButton="0" quotePrefix="0" xfId="0"/>
  </cellXfs>
  <cellStyles count="1">
    <cellStyle name="Normal" xfId="0" builtinId="0" hidden="0"/>
  </cellStyles>
  <dxfs count="2">
    <dxf>
      <fill>
        <patternFill patternType="solid">
          <fgColor rgb="00D5F5E6"/>
        </patternFill>
      </fill>
    </dxf>
    <dxf>
      <fill>
        <patternFill patternType="solid">
          <fgColor rgb="00FBD3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9D7A2"/>
    <outlinePr summaryBelow="1" summaryRight="1"/>
    <pageSetUpPr/>
  </sheetPr>
  <dimension ref="B2:O122"/>
  <sheetViews>
    <sheetView showGridLines="0" workbookViewId="0">
      <selection activeCell="A1" sqref="A1"/>
    </sheetView>
  </sheetViews>
  <sheetFormatPr baseColWidth="8" defaultRowHeight="15"/>
  <cols>
    <col width="2.6" customWidth="1" min="1" max="1"/>
    <col width="26" customWidth="1" min="2" max="2"/>
    <col width="5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2">
      <c r="B2" s="1" t="inlineStr">
        <is>
          <t>zenda.</t>
        </is>
      </c>
    </row>
    <row r="3" ht="28" customHeight="1">
      <c r="B3" s="2" t="inlineStr">
        <is>
          <t>Sancor Seguros  |  Media Plan Cyber Monday 2026  |  Argentina</t>
        </is>
      </c>
    </row>
    <row r="5" ht="18" customHeight="1">
      <c r="B5" s="3" t="inlineStr">
        <is>
          <t>PERÍODO</t>
        </is>
      </c>
      <c r="D5" s="4" t="inlineStr">
        <is>
          <t>INVERSIÓN CONSERVADOR</t>
        </is>
      </c>
      <c r="G5" s="4" t="inlineStr">
        <is>
          <t>INVERSIÓN AGRESIVO</t>
        </is>
      </c>
      <c r="J5" s="5" t="inlineStr">
        <is>
          <t>COTIZACIONES CONSERVADOR</t>
        </is>
      </c>
      <c r="M5" s="5" t="inlineStr">
        <is>
          <t>COTIZACIONES AGRESIVO</t>
        </is>
      </c>
    </row>
    <row r="6" ht="32" customHeight="1">
      <c r="B6" s="6">
        <f>TEXT(C88,"dd/mm")&amp;" al "&amp;TEXT(D90,"dd/mm")</f>
        <v/>
      </c>
      <c r="D6" s="7">
        <f>I55</f>
        <v/>
      </c>
      <c r="G6" s="7">
        <f>I81</f>
        <v/>
      </c>
      <c r="J6" s="8">
        <f>M55</f>
        <v/>
      </c>
      <c r="M6" s="8">
        <f>M81</f>
        <v/>
      </c>
    </row>
    <row r="7" ht="16" customHeight="1">
      <c r="B7" s="9" t="inlineStr">
        <is>
          <t>Teaser, Cyber Monday y Cyber Week</t>
        </is>
      </c>
      <c r="D7" s="10" t="inlineStr">
        <is>
          <t>Escenario conservador</t>
        </is>
      </c>
      <c r="G7" s="10" t="inlineStr">
        <is>
          <t>Escenario agresivo</t>
        </is>
      </c>
      <c r="J7" s="11" t="inlineStr">
        <is>
          <t>Cotizaciones completas</t>
        </is>
      </c>
      <c r="M7" s="11" t="inlineStr">
        <is>
          <t>Cotizaciones completas</t>
        </is>
      </c>
    </row>
    <row r="9" ht="24" customHeight="1">
      <c r="B9" s="12" t="inlineStr">
        <is>
          <t>COMPARATIVO DE ESCENARIOS</t>
        </is>
      </c>
      <c r="C9" s="13" t="n"/>
      <c r="D9" s="13" t="n"/>
      <c r="E9" s="13" t="n"/>
      <c r="G9" s="12" t="inlineStr">
        <is>
          <t>INVERSIÓN POR ETAPA</t>
        </is>
      </c>
      <c r="H9" s="13" t="n"/>
      <c r="I9" s="13" t="n"/>
      <c r="J9" s="13" t="n"/>
    </row>
    <row r="10" ht="30" customHeight="1">
      <c r="B10" s="14" t="inlineStr">
        <is>
          <t>Indicador</t>
        </is>
      </c>
      <c r="C10" s="14" t="inlineStr">
        <is>
          <t>Conservador</t>
        </is>
      </c>
      <c r="D10" s="14" t="inlineStr">
        <is>
          <t>Agresivo</t>
        </is>
      </c>
      <c r="E10" s="14" t="inlineStr">
        <is>
          <t>Diferencia</t>
        </is>
      </c>
      <c r="G10" s="14" t="inlineStr">
        <is>
          <t>Etapa</t>
        </is>
      </c>
      <c r="H10" s="14" t="inlineStr">
        <is>
          <t>Fechas</t>
        </is>
      </c>
      <c r="I10" s="14" t="inlineStr">
        <is>
          <t>Conservador</t>
        </is>
      </c>
      <c r="J10" s="14" t="inlineStr">
        <is>
          <t>Agresivo</t>
        </is>
      </c>
    </row>
    <row r="11">
      <c r="B11" s="15" t="inlineStr">
        <is>
          <t>Inversión</t>
        </is>
      </c>
      <c r="C11" s="16">
        <f>I55</f>
        <v/>
      </c>
      <c r="D11" s="16">
        <f>I81</f>
        <v/>
      </c>
      <c r="E11" s="17">
        <f>IFERROR(D11/C11-1,"")</f>
        <v/>
      </c>
      <c r="G11" s="15" t="inlineStr">
        <is>
          <t>Teaser</t>
        </is>
      </c>
      <c r="H11" s="18">
        <f>TEXT(C88,"dd/mm")&amp;" al "&amp;TEXT(D88,"dd/mm")</f>
        <v/>
      </c>
      <c r="I11" s="16">
        <f>F55</f>
        <v/>
      </c>
      <c r="J11" s="16">
        <f>F81</f>
        <v/>
      </c>
    </row>
    <row r="12">
      <c r="B12" s="19" t="inlineStr">
        <is>
          <t>Inversión adicional sobre el día común</t>
        </is>
      </c>
      <c r="C12" s="20">
        <f>C11-SUM($D$21:$D$26)*($E$88+$E$89+$E$90)</f>
        <v/>
      </c>
      <c r="D12" s="20">
        <f>D11-SUM($D$21:$D$26)*($E$88+$E$89+$E$90)</f>
        <v/>
      </c>
      <c r="E12" s="21">
        <f>IFERROR(D12/C12-1,"")</f>
        <v/>
      </c>
      <c r="G12" s="19" t="inlineStr">
        <is>
          <t>Cyber Monday</t>
        </is>
      </c>
      <c r="H12" s="22">
        <f>TEXT(C89,"dd/mm")&amp;" al "&amp;TEXT(D89,"dd/mm")</f>
        <v/>
      </c>
      <c r="I12" s="20">
        <f>G55</f>
        <v/>
      </c>
      <c r="J12" s="20">
        <f>G81</f>
        <v/>
      </c>
    </row>
    <row r="13">
      <c r="B13" s="15" t="inlineStr">
        <is>
          <t>Impresiones</t>
        </is>
      </c>
      <c r="C13" s="23">
        <f>J55</f>
        <v/>
      </c>
      <c r="D13" s="23">
        <f>J81</f>
        <v/>
      </c>
      <c r="E13" s="17">
        <f>IFERROR(D13/C13-1,"")</f>
        <v/>
      </c>
      <c r="G13" s="15" t="inlineStr">
        <is>
          <t>Cyber Week</t>
        </is>
      </c>
      <c r="H13" s="18">
        <f>TEXT(C90,"dd/mm")&amp;" al "&amp;TEXT(D90,"dd/mm")</f>
        <v/>
      </c>
      <c r="I13" s="16">
        <f>H55</f>
        <v/>
      </c>
      <c r="J13" s="16">
        <f>H81</f>
        <v/>
      </c>
    </row>
    <row r="14" ht="20" customHeight="1">
      <c r="B14" s="19" t="inlineStr">
        <is>
          <t>Clics</t>
        </is>
      </c>
      <c r="C14" s="24">
        <f>K55</f>
        <v/>
      </c>
      <c r="D14" s="24">
        <f>K81</f>
        <v/>
      </c>
      <c r="E14" s="21">
        <f>IFERROR(D14/C14-1,"")</f>
        <v/>
      </c>
      <c r="G14" s="25" t="inlineStr">
        <is>
          <t>TOTAL</t>
        </is>
      </c>
      <c r="H14" s="26">
        <f>TEXT(C88,"dd/mm")&amp;" al "&amp;TEXT(D90,"dd/mm")</f>
        <v/>
      </c>
      <c r="I14" s="27">
        <f>SUM(I11:I13)</f>
        <v/>
      </c>
      <c r="J14" s="27">
        <f>SUM(J11:J13)</f>
        <v/>
      </c>
    </row>
    <row r="15">
      <c r="B15" s="15" t="inlineStr">
        <is>
          <t>CTR</t>
        </is>
      </c>
      <c r="C15" s="28">
        <f>C14/C13</f>
        <v/>
      </c>
      <c r="D15" s="28">
        <f>D14/D13</f>
        <v/>
      </c>
      <c r="E15" s="17">
        <f>IFERROR(D15/C15-1,"")</f>
        <v/>
      </c>
      <c r="G15" s="29" t="inlineStr">
        <is>
          <t>Teaser: campañas de cada producto al día común y campañas de marca con piezas de expectativa.</t>
        </is>
      </c>
    </row>
    <row r="16">
      <c r="B16" s="19" t="inlineStr">
        <is>
          <t>Cotizaciones</t>
        </is>
      </c>
      <c r="C16" s="24">
        <f>M55</f>
        <v/>
      </c>
      <c r="D16" s="24">
        <f>M81</f>
        <v/>
      </c>
      <c r="E16" s="21">
        <f>IFERROR(D16/C16-1,"")</f>
        <v/>
      </c>
    </row>
    <row r="17">
      <c r="B17" s="15" t="inlineStr">
        <is>
          <t>CPA por cotización</t>
        </is>
      </c>
      <c r="C17" s="16">
        <f>N55</f>
        <v/>
      </c>
      <c r="D17" s="16">
        <f>N81</f>
        <v/>
      </c>
      <c r="E17" s="17">
        <f>IFERROR(D17/C17-1,"")</f>
        <v/>
      </c>
    </row>
    <row r="18">
      <c r="B18" s="29" t="inlineStr">
        <is>
          <t>Inversión adicional: lo que se invierte por encima del día común de cada producto en los 11 días.</t>
        </is>
      </c>
    </row>
    <row r="19" ht="24" customHeight="1">
      <c r="B19" s="12" t="inlineStr">
        <is>
          <t>INVERSIÓN POR PRODUCTO</t>
        </is>
      </c>
      <c r="C19" s="13" t="n"/>
      <c r="D19" s="13" t="n"/>
      <c r="E19" s="13" t="n"/>
      <c r="F19" s="13" t="n"/>
      <c r="G19" s="13" t="n"/>
      <c r="H19" s="13" t="n"/>
      <c r="J19" s="12" t="inlineStr">
        <is>
          <t>INVERSIÓN DIARIA VS. DÍA COMÚN</t>
        </is>
      </c>
      <c r="K19" s="13" t="n"/>
      <c r="L19" s="13" t="n"/>
      <c r="M19" s="13" t="n"/>
      <c r="N19" s="13" t="n"/>
      <c r="O19" s="13" t="n"/>
    </row>
    <row r="20" ht="30" customHeight="1">
      <c r="B20" s="14" t="inlineStr">
        <is>
          <t>Producto</t>
        </is>
      </c>
      <c r="C20" s="14" t="inlineStr">
        <is>
          <t>Oferta Cyber</t>
        </is>
      </c>
      <c r="D20" s="14" t="inlineStr">
        <is>
          <t>Día común</t>
        </is>
      </c>
      <c r="E20" s="14" t="inlineStr">
        <is>
          <t>Conservador</t>
        </is>
      </c>
      <c r="F20" s="14" t="inlineStr">
        <is>
          <t>%</t>
        </is>
      </c>
      <c r="G20" s="14" t="inlineStr">
        <is>
          <t>Agresivo</t>
        </is>
      </c>
      <c r="H20" s="14" t="inlineStr">
        <is>
          <t>%</t>
        </is>
      </c>
      <c r="J20" s="14" t="inlineStr">
        <is>
          <t>Etapa</t>
        </is>
      </c>
      <c r="K20" s="14" t="inlineStr">
        <is>
          <t>Día común</t>
        </is>
      </c>
      <c r="L20" s="14" t="inlineStr">
        <is>
          <t>Conservador</t>
        </is>
      </c>
      <c r="M20" s="14" t="inlineStr">
        <is>
          <t>Vs. día común</t>
        </is>
      </c>
      <c r="N20" s="14" t="inlineStr">
        <is>
          <t>Agresivo</t>
        </is>
      </c>
      <c r="O20" s="14" t="inlineStr">
        <is>
          <t>Vs. día común</t>
        </is>
      </c>
    </row>
    <row r="21">
      <c r="B21" s="15" t="inlineStr">
        <is>
          <t>Auto</t>
        </is>
      </c>
      <c r="C21" s="30" t="inlineStr">
        <is>
          <t>Hasta 30% OFF</t>
        </is>
      </c>
      <c r="D21" s="16">
        <f>SUMIF($B$34:$B$54,B21,$E$34:$E$54)</f>
        <v/>
      </c>
      <c r="E21" s="16">
        <f>SUMIF($B$34:$B$54,B21,$I$34:$I$54)</f>
        <v/>
      </c>
      <c r="F21" s="31">
        <f>E21/$E$28</f>
        <v/>
      </c>
      <c r="G21" s="16">
        <f>SUMIF($B$60:$B$80,B21,$I$60:$I$80)</f>
        <v/>
      </c>
      <c r="H21" s="31">
        <f>G21/$G$28</f>
        <v/>
      </c>
      <c r="J21" s="15" t="inlineStr">
        <is>
          <t>Teaser</t>
        </is>
      </c>
      <c r="K21" s="16">
        <f>SUM($D$21:$D$26)</f>
        <v/>
      </c>
      <c r="L21" s="16">
        <f>I11/$E$88</f>
        <v/>
      </c>
      <c r="M21" s="17">
        <f>L21/K21-1</f>
        <v/>
      </c>
      <c r="N21" s="16">
        <f>J11/$E$88</f>
        <v/>
      </c>
      <c r="O21" s="17">
        <f>N21/K21-1</f>
        <v/>
      </c>
    </row>
    <row r="22">
      <c r="B22" s="19" t="inlineStr">
        <is>
          <t>Moto</t>
        </is>
      </c>
      <c r="C22" s="32" t="inlineStr">
        <is>
          <t>30% OFF</t>
        </is>
      </c>
      <c r="D22" s="20">
        <f>SUMIF($B$34:$B$54,B22,$E$34:$E$54)</f>
        <v/>
      </c>
      <c r="E22" s="20">
        <f>SUMIF($B$34:$B$54,B22,$I$34:$I$54)</f>
        <v/>
      </c>
      <c r="F22" s="33">
        <f>E22/$E$28</f>
        <v/>
      </c>
      <c r="G22" s="20">
        <f>SUMIF($B$60:$B$80,B22,$I$60:$I$80)</f>
        <v/>
      </c>
      <c r="H22" s="33">
        <f>G22/$G$28</f>
        <v/>
      </c>
      <c r="J22" s="19" t="inlineStr">
        <is>
          <t>Cyber Monday</t>
        </is>
      </c>
      <c r="K22" s="20">
        <f>SUM($D$21:$D$26)</f>
        <v/>
      </c>
      <c r="L22" s="20">
        <f>I12/$E$89</f>
        <v/>
      </c>
      <c r="M22" s="21">
        <f>L22/K22-1</f>
        <v/>
      </c>
      <c r="N22" s="20">
        <f>J12/$E$89</f>
        <v/>
      </c>
      <c r="O22" s="21">
        <f>N22/K22-1</f>
        <v/>
      </c>
    </row>
    <row r="23">
      <c r="B23" s="15" t="inlineStr">
        <is>
          <t>Movilidad</t>
        </is>
      </c>
      <c r="C23" s="30" t="inlineStr">
        <is>
          <t>15% OFF</t>
        </is>
      </c>
      <c r="D23" s="16">
        <f>SUMIF($B$34:$B$54,B23,$E$34:$E$54)</f>
        <v/>
      </c>
      <c r="E23" s="16">
        <f>SUMIF($B$34:$B$54,B23,$I$34:$I$54)</f>
        <v/>
      </c>
      <c r="F23" s="31">
        <f>E23/$E$28</f>
        <v/>
      </c>
      <c r="G23" s="16">
        <f>SUMIF($B$60:$B$80,B23,$I$60:$I$80)</f>
        <v/>
      </c>
      <c r="H23" s="31">
        <f>G23/$G$28</f>
        <v/>
      </c>
      <c r="J23" s="15" t="inlineStr">
        <is>
          <t>Cyber Week</t>
        </is>
      </c>
      <c r="K23" s="16">
        <f>SUM($D$21:$D$26)</f>
        <v/>
      </c>
      <c r="L23" s="16">
        <f>I13/$E$90</f>
        <v/>
      </c>
      <c r="M23" s="17">
        <f>L23/K23-1</f>
        <v/>
      </c>
      <c r="N23" s="16">
        <f>J13/$E$90</f>
        <v/>
      </c>
      <c r="O23" s="17">
        <f>N23/K23-1</f>
        <v/>
      </c>
    </row>
    <row r="24">
      <c r="B24" s="19" t="inlineStr">
        <is>
          <t>AP</t>
        </is>
      </c>
      <c r="C24" s="32" t="inlineStr">
        <is>
          <t>AP 24 HS: 30% OFF</t>
        </is>
      </c>
      <c r="D24" s="20">
        <f>SUMIF($B$34:$B$54,B24,$E$34:$E$54)</f>
        <v/>
      </c>
      <c r="E24" s="20">
        <f>SUMIF($B$34:$B$54,B24,$I$34:$I$54)</f>
        <v/>
      </c>
      <c r="F24" s="33">
        <f>E24/$E$28</f>
        <v/>
      </c>
      <c r="G24" s="20">
        <f>SUMIF($B$60:$B$80,B24,$I$60:$I$80)</f>
        <v/>
      </c>
      <c r="H24" s="33">
        <f>G24/$G$28</f>
        <v/>
      </c>
      <c r="J24" s="29" t="inlineStr">
        <is>
          <t>Día común: suma de los productos, sin el teaser de marca.</t>
        </is>
      </c>
    </row>
    <row r="25">
      <c r="B25" s="15" t="inlineStr">
        <is>
          <t>Hogar</t>
        </is>
      </c>
      <c r="C25" s="30" t="inlineStr">
        <is>
          <t>30% OFF</t>
        </is>
      </c>
      <c r="D25" s="16">
        <f>SUMIF($B$34:$B$54,B25,$E$34:$E$54)</f>
        <v/>
      </c>
      <c r="E25" s="16">
        <f>SUMIF($B$34:$B$54,B25,$I$34:$I$54)</f>
        <v/>
      </c>
      <c r="F25" s="31">
        <f>E25/$E$28</f>
        <v/>
      </c>
      <c r="G25" s="16">
        <f>SUMIF($B$60:$B$80,B25,$I$60:$I$80)</f>
        <v/>
      </c>
      <c r="H25" s="31">
        <f>G25/$G$28</f>
        <v/>
      </c>
    </row>
    <row r="26">
      <c r="B26" s="19" t="inlineStr">
        <is>
          <t>SSM</t>
        </is>
      </c>
      <c r="C26" s="32" t="inlineStr">
        <is>
          <t>30% OFF</t>
        </is>
      </c>
      <c r="D26" s="20">
        <f>SUMIF($B$34:$B$54,B26,$E$34:$E$54)</f>
        <v/>
      </c>
      <c r="E26" s="20">
        <f>SUMIF($B$34:$B$54,B26,$I$34:$I$54)</f>
        <v/>
      </c>
      <c r="F26" s="33">
        <f>E26/$E$28</f>
        <v/>
      </c>
      <c r="G26" s="20">
        <f>SUMIF($B$60:$B$80,B26,$I$60:$I$80)</f>
        <v/>
      </c>
      <c r="H26" s="33">
        <f>G26/$G$28</f>
        <v/>
      </c>
    </row>
    <row r="27">
      <c r="B27" s="15" t="inlineStr">
        <is>
          <t>Teaser de marca</t>
        </is>
      </c>
      <c r="C27" s="30" t="inlineStr">
        <is>
          <t>–</t>
        </is>
      </c>
      <c r="D27" s="16">
        <f>SUMIF($B$34:$B$54,B27,$E$34:$E$54)</f>
        <v/>
      </c>
      <c r="E27" s="16">
        <f>SUMIF($B$34:$B$54,B27,$I$34:$I$54)</f>
        <v/>
      </c>
      <c r="F27" s="31">
        <f>E27/$E$28</f>
        <v/>
      </c>
      <c r="G27" s="16">
        <f>SUMIF($B$60:$B$80,B27,$I$60:$I$80)</f>
        <v/>
      </c>
      <c r="H27" s="31">
        <f>G27/$G$28</f>
        <v/>
      </c>
    </row>
    <row r="28" ht="20" customHeight="1">
      <c r="B28" s="25" t="inlineStr">
        <is>
          <t>TOTAL</t>
        </is>
      </c>
      <c r="C28" s="34" t="inlineStr"/>
      <c r="D28" s="27">
        <f>SUM(D21:D27)</f>
        <v/>
      </c>
      <c r="E28" s="27">
        <f>SUM(E21:E27)</f>
        <v/>
      </c>
      <c r="F28" s="35">
        <f>SUM(F21:F27)</f>
        <v/>
      </c>
      <c r="G28" s="27">
        <f>SUM(G21:G27)</f>
        <v/>
      </c>
      <c r="H28" s="35">
        <f>SUM(H21:H27)</f>
        <v/>
      </c>
    </row>
    <row r="29">
      <c r="B29" s="29" t="inlineStr">
        <is>
          <t>Día común: inversión diaria real de cada campaña del 08/10 al 21/10/2026. Hogar no pauta en 2026: base del Cyber 2025 ajustada por inflación. SSM y el teaser de marca no tienen pauta vigente: monto propuesto.</t>
        </is>
      </c>
    </row>
    <row r="32" ht="24" customHeight="1">
      <c r="B32" s="36" t="inlineStr">
        <is>
          <t>DETALLE POR CAMPAÑA · ESCENARIO CONSERVADOR</t>
        </is>
      </c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37" t="n"/>
    </row>
    <row r="33" ht="30" customHeight="1">
      <c r="B33" s="14" t="inlineStr">
        <is>
          <t>Producto</t>
        </is>
      </c>
      <c r="C33" s="14" t="inlineStr">
        <is>
          <t>Campaña</t>
        </is>
      </c>
      <c r="D33" s="14" t="inlineStr">
        <is>
          <t>Medio</t>
        </is>
      </c>
      <c r="E33" s="14" t="inlineStr">
        <is>
          <t>Día común</t>
        </is>
      </c>
      <c r="F33" s="14" t="inlineStr">
        <is>
          <t>Teaser</t>
        </is>
      </c>
      <c r="G33" s="14" t="inlineStr">
        <is>
          <t>Cyber Monday</t>
        </is>
      </c>
      <c r="H33" s="14" t="inlineStr">
        <is>
          <t>Cyber Week</t>
        </is>
      </c>
      <c r="I33" s="14" t="inlineStr">
        <is>
          <t>Inversión total</t>
        </is>
      </c>
      <c r="J33" s="14" t="inlineStr">
        <is>
          <t>Impresiones</t>
        </is>
      </c>
      <c r="K33" s="14" t="inlineStr">
        <is>
          <t>Clics</t>
        </is>
      </c>
      <c r="L33" s="14" t="inlineStr">
        <is>
          <t>CTR</t>
        </is>
      </c>
      <c r="M33" s="14" t="inlineStr">
        <is>
          <t>Cotizaciones</t>
        </is>
      </c>
      <c r="N33" s="14" t="inlineStr">
        <is>
          <t>CPA</t>
        </is>
      </c>
    </row>
    <row r="34">
      <c r="B34" s="15" t="inlineStr">
        <is>
          <t>Auto</t>
        </is>
      </c>
      <c r="C34" s="30" t="inlineStr">
        <is>
          <t>SS_Auto_GL_Search_BrandSancor_Cotizaciones_2023_Performance</t>
        </is>
      </c>
      <c r="D34" s="30" t="inlineStr">
        <is>
          <t>Google Ads</t>
        </is>
      </c>
      <c r="E34" s="38" t="n">
        <v>246885</v>
      </c>
      <c r="F34" s="16">
        <f>E34*(1+$C$92)*$E$88</f>
        <v/>
      </c>
      <c r="G34" s="16">
        <f>E34*(1+$C$93)*$E$89</f>
        <v/>
      </c>
      <c r="H34" s="16">
        <f>E34*(1+$C$94)*$E$90</f>
        <v/>
      </c>
      <c r="I34" s="16">
        <f>SUM(F34:H34)</f>
        <v/>
      </c>
      <c r="J34" s="23">
        <f>I34/H100*1000</f>
        <v/>
      </c>
      <c r="K34" s="23">
        <f>I34/I100</f>
        <v/>
      </c>
      <c r="L34" s="28">
        <f>K34/J34</f>
        <v/>
      </c>
      <c r="M34" s="23">
        <f>K34*G100</f>
        <v/>
      </c>
      <c r="N34" s="16">
        <f>IFERROR(I34/M34,"")</f>
        <v/>
      </c>
    </row>
    <row r="35">
      <c r="B35" s="19" t="inlineStr">
        <is>
          <t>Auto</t>
        </is>
      </c>
      <c r="C35" s="32" t="inlineStr">
        <is>
          <t>SS_Auto_GL_Search_Category_Intent_2023_Performance</t>
        </is>
      </c>
      <c r="D35" s="32" t="inlineStr">
        <is>
          <t>Google Ads</t>
        </is>
      </c>
      <c r="E35" s="38" t="n">
        <v>237221</v>
      </c>
      <c r="F35" s="20">
        <f>E35*(1+$C$92)*$E$88</f>
        <v/>
      </c>
      <c r="G35" s="20">
        <f>E35*(1+$C$93)*$E$89</f>
        <v/>
      </c>
      <c r="H35" s="20">
        <f>E35*(1+$C$94)*$E$90</f>
        <v/>
      </c>
      <c r="I35" s="20">
        <f>SUM(F35:H35)</f>
        <v/>
      </c>
      <c r="J35" s="24">
        <f>I35/H101*1000</f>
        <v/>
      </c>
      <c r="K35" s="24">
        <f>I35/I101</f>
        <v/>
      </c>
      <c r="L35" s="39">
        <f>K35/J35</f>
        <v/>
      </c>
      <c r="M35" s="24">
        <f>K35*G101</f>
        <v/>
      </c>
      <c r="N35" s="20">
        <f>IFERROR(I35/M35,"")</f>
        <v/>
      </c>
    </row>
    <row r="36">
      <c r="B36" s="15" t="inlineStr">
        <is>
          <t>Auto</t>
        </is>
      </c>
      <c r="C36" s="30" t="inlineStr">
        <is>
          <t>SS_Auto_GL_PMax_Conversiones_2023_Performance</t>
        </is>
      </c>
      <c r="D36" s="30" t="inlineStr">
        <is>
          <t>Google Ads</t>
        </is>
      </c>
      <c r="E36" s="38" t="n">
        <v>317273</v>
      </c>
      <c r="F36" s="16">
        <f>E36*(1+$C$92)*$E$88</f>
        <v/>
      </c>
      <c r="G36" s="16">
        <f>E36*(1+$C$93)*$E$89</f>
        <v/>
      </c>
      <c r="H36" s="16">
        <f>E36*(1+$C$94)*$E$90</f>
        <v/>
      </c>
      <c r="I36" s="16">
        <f>SUM(F36:H36)</f>
        <v/>
      </c>
      <c r="J36" s="23">
        <f>I36/H102*1000</f>
        <v/>
      </c>
      <c r="K36" s="23">
        <f>I36/I102</f>
        <v/>
      </c>
      <c r="L36" s="28">
        <f>K36/J36</f>
        <v/>
      </c>
      <c r="M36" s="23">
        <f>K36*G102</f>
        <v/>
      </c>
      <c r="N36" s="16">
        <f>IFERROR(I36/M36,"")</f>
        <v/>
      </c>
    </row>
    <row r="37">
      <c r="B37" s="19" t="inlineStr">
        <is>
          <t>Auto</t>
        </is>
      </c>
      <c r="C37" s="32" t="inlineStr">
        <is>
          <t>SS_Auto_FB_Conversiones_RMKT_2023</t>
        </is>
      </c>
      <c r="D37" s="32" t="inlineStr">
        <is>
          <t>Meta Ads</t>
        </is>
      </c>
      <c r="E37" s="38" t="n">
        <v>70481</v>
      </c>
      <c r="F37" s="20">
        <f>E37*(1+$C$92)*$E$88</f>
        <v/>
      </c>
      <c r="G37" s="20">
        <f>E37*(1+$C$93)*$E$89</f>
        <v/>
      </c>
      <c r="H37" s="20">
        <f>E37*(1+$C$94)*$E$90</f>
        <v/>
      </c>
      <c r="I37" s="20">
        <f>SUM(F37:H37)</f>
        <v/>
      </c>
      <c r="J37" s="24">
        <f>I37/H103*1000</f>
        <v/>
      </c>
      <c r="K37" s="24">
        <f>I37/I103</f>
        <v/>
      </c>
      <c r="L37" s="39">
        <f>K37/J37</f>
        <v/>
      </c>
      <c r="M37" s="24">
        <f>K37*G103</f>
        <v/>
      </c>
      <c r="N37" s="20">
        <f>IFERROR(I37/M37,"")</f>
        <v/>
      </c>
    </row>
    <row r="38">
      <c r="B38" s="15" t="inlineStr">
        <is>
          <t>Moto</t>
        </is>
      </c>
      <c r="C38" s="30" t="inlineStr">
        <is>
          <t>SS_Moto_GL_PMax_Conversiones_2023_Performance</t>
        </is>
      </c>
      <c r="D38" s="30" t="inlineStr">
        <is>
          <t>Google Ads</t>
        </is>
      </c>
      <c r="E38" s="38" t="n">
        <v>5247</v>
      </c>
      <c r="F38" s="16">
        <f>E38*(1+$C$92)*$E$88</f>
        <v/>
      </c>
      <c r="G38" s="16">
        <f>E38*(1+$C$93)*$E$89</f>
        <v/>
      </c>
      <c r="H38" s="16">
        <f>E38*(1+$C$94)*$E$90</f>
        <v/>
      </c>
      <c r="I38" s="16">
        <f>SUM(F38:H38)</f>
        <v/>
      </c>
      <c r="J38" s="23">
        <f>I38/H104*1000</f>
        <v/>
      </c>
      <c r="K38" s="23">
        <f>I38/I104</f>
        <v/>
      </c>
      <c r="L38" s="28">
        <f>K38/J38</f>
        <v/>
      </c>
      <c r="M38" s="23">
        <f>K38*G104</f>
        <v/>
      </c>
      <c r="N38" s="16">
        <f>IFERROR(I38/M38,"")</f>
        <v/>
      </c>
    </row>
    <row r="39">
      <c r="B39" s="19" t="inlineStr">
        <is>
          <t>Moto</t>
        </is>
      </c>
      <c r="C39" s="32" t="inlineStr">
        <is>
          <t>SS_Moto_GL_Search_Not Brand_Cotizaciones_2023_Performance</t>
        </is>
      </c>
      <c r="D39" s="32" t="inlineStr">
        <is>
          <t>Google Ads</t>
        </is>
      </c>
      <c r="E39" s="38" t="n">
        <v>1793</v>
      </c>
      <c r="F39" s="20">
        <f>E39*(1+$C$92)*$E$88</f>
        <v/>
      </c>
      <c r="G39" s="20">
        <f>E39*(1+$C$93)*$E$89</f>
        <v/>
      </c>
      <c r="H39" s="20">
        <f>E39*(1+$C$94)*$E$90</f>
        <v/>
      </c>
      <c r="I39" s="20">
        <f>SUM(F39:H39)</f>
        <v/>
      </c>
      <c r="J39" s="24">
        <f>I39/H105*1000</f>
        <v/>
      </c>
      <c r="K39" s="24">
        <f>I39/I105</f>
        <v/>
      </c>
      <c r="L39" s="39">
        <f>K39/J39</f>
        <v/>
      </c>
      <c r="M39" s="24">
        <f>K39*G105</f>
        <v/>
      </c>
      <c r="N39" s="20">
        <f>IFERROR(I39/M39,"")</f>
        <v/>
      </c>
    </row>
    <row r="40">
      <c r="B40" s="15" t="inlineStr">
        <is>
          <t>Moto</t>
        </is>
      </c>
      <c r="C40" s="30" t="inlineStr">
        <is>
          <t>SS_Moto_FB_Conversiones_2023</t>
        </is>
      </c>
      <c r="D40" s="30" t="inlineStr">
        <is>
          <t>Meta Ads</t>
        </is>
      </c>
      <c r="E40" s="38" t="n">
        <v>3159</v>
      </c>
      <c r="F40" s="16">
        <f>E40*(1+$C$92)*$E$88</f>
        <v/>
      </c>
      <c r="G40" s="16">
        <f>E40*(1+$C$93)*$E$89</f>
        <v/>
      </c>
      <c r="H40" s="16">
        <f>E40*(1+$C$94)*$E$90</f>
        <v/>
      </c>
      <c r="I40" s="16">
        <f>SUM(F40:H40)</f>
        <v/>
      </c>
      <c r="J40" s="23">
        <f>I40/H106*1000</f>
        <v/>
      </c>
      <c r="K40" s="23">
        <f>I40/I106</f>
        <v/>
      </c>
      <c r="L40" s="28">
        <f>K40/J40</f>
        <v/>
      </c>
      <c r="M40" s="23">
        <f>K40*G106</f>
        <v/>
      </c>
      <c r="N40" s="16">
        <f>IFERROR(I40/M40,"")</f>
        <v/>
      </c>
    </row>
    <row r="41">
      <c r="B41" s="19" t="inlineStr">
        <is>
          <t>Movilidad</t>
        </is>
      </c>
      <c r="C41" s="32" t="inlineStr">
        <is>
          <t>SS_Movilidad_GL_Search_NotBrand_Conversiones_2023</t>
        </is>
      </c>
      <c r="D41" s="32" t="inlineStr">
        <is>
          <t>Google Ads</t>
        </is>
      </c>
      <c r="E41" s="38" t="n">
        <v>82392</v>
      </c>
      <c r="F41" s="20">
        <f>E41*(1+$C$92)*$E$88</f>
        <v/>
      </c>
      <c r="G41" s="20">
        <f>E41*(1+$C$93)*$E$89</f>
        <v/>
      </c>
      <c r="H41" s="20">
        <f>E41*(1+$C$94)*$E$90</f>
        <v/>
      </c>
      <c r="I41" s="20">
        <f>SUM(F41:H41)</f>
        <v/>
      </c>
      <c r="J41" s="24">
        <f>I41/H107*1000</f>
        <v/>
      </c>
      <c r="K41" s="24">
        <f>I41/I107</f>
        <v/>
      </c>
      <c r="L41" s="39">
        <f>K41/J41</f>
        <v/>
      </c>
      <c r="M41" s="24">
        <f>K41*G107</f>
        <v/>
      </c>
      <c r="N41" s="20">
        <f>IFERROR(I41/M41,"")</f>
        <v/>
      </c>
    </row>
    <row r="42">
      <c r="B42" s="15" t="inlineStr">
        <is>
          <t>Movilidad</t>
        </is>
      </c>
      <c r="C42" s="30" t="inlineStr">
        <is>
          <t>SS_Movilidad_GL_Search_Brand_Conversiones_2023</t>
        </is>
      </c>
      <c r="D42" s="30" t="inlineStr">
        <is>
          <t>Google Ads</t>
        </is>
      </c>
      <c r="E42" s="38" t="n">
        <v>11126</v>
      </c>
      <c r="F42" s="16">
        <f>E42*(1+$C$92)*$E$88</f>
        <v/>
      </c>
      <c r="G42" s="16">
        <f>E42*(1+$C$93)*$E$89</f>
        <v/>
      </c>
      <c r="H42" s="16">
        <f>E42*(1+$C$94)*$E$90</f>
        <v/>
      </c>
      <c r="I42" s="16">
        <f>SUM(F42:H42)</f>
        <v/>
      </c>
      <c r="J42" s="23">
        <f>I42/H108*1000</f>
        <v/>
      </c>
      <c r="K42" s="23">
        <f>I42/I108</f>
        <v/>
      </c>
      <c r="L42" s="28">
        <f>K42/J42</f>
        <v/>
      </c>
      <c r="M42" s="23">
        <f>K42*G108</f>
        <v/>
      </c>
      <c r="N42" s="16">
        <f>IFERROR(I42/M42,"")</f>
        <v/>
      </c>
    </row>
    <row r="43">
      <c r="B43" s="19" t="inlineStr">
        <is>
          <t>Movilidad</t>
        </is>
      </c>
      <c r="C43" s="32" t="inlineStr">
        <is>
          <t>SS_Movilidad_GL_PMax_Conversiones_2026_Performance</t>
        </is>
      </c>
      <c r="D43" s="32" t="inlineStr">
        <is>
          <t>Google Ads</t>
        </is>
      </c>
      <c r="E43" s="38" t="n">
        <v>18949</v>
      </c>
      <c r="F43" s="20">
        <f>E43*(1+$C$92)*$E$88</f>
        <v/>
      </c>
      <c r="G43" s="20">
        <f>E43*(1+$C$93)*$E$89</f>
        <v/>
      </c>
      <c r="H43" s="20">
        <f>E43*(1+$C$94)*$E$90</f>
        <v/>
      </c>
      <c r="I43" s="20">
        <f>SUM(F43:H43)</f>
        <v/>
      </c>
      <c r="J43" s="24">
        <f>I43/H109*1000</f>
        <v/>
      </c>
      <c r="K43" s="24">
        <f>I43/I109</f>
        <v/>
      </c>
      <c r="L43" s="39">
        <f>K43/J43</f>
        <v/>
      </c>
      <c r="M43" s="24">
        <f>K43*G109</f>
        <v/>
      </c>
      <c r="N43" s="20">
        <f>IFERROR(I43/M43,"")</f>
        <v/>
      </c>
    </row>
    <row r="44">
      <c r="B44" s="15" t="inlineStr">
        <is>
          <t>Movilidad</t>
        </is>
      </c>
      <c r="C44" s="30" t="inlineStr">
        <is>
          <t>SS_Movilidad_Meta_Conversiones_2023</t>
        </is>
      </c>
      <c r="D44" s="30" t="inlineStr">
        <is>
          <t>Meta Ads</t>
        </is>
      </c>
      <c r="E44" s="38" t="n">
        <v>33945</v>
      </c>
      <c r="F44" s="16">
        <f>E44*(1+$C$92)*$E$88</f>
        <v/>
      </c>
      <c r="G44" s="16">
        <f>E44*(1+$C$93)*$E$89</f>
        <v/>
      </c>
      <c r="H44" s="16">
        <f>E44*(1+$C$94)*$E$90</f>
        <v/>
      </c>
      <c r="I44" s="16">
        <f>SUM(F44:H44)</f>
        <v/>
      </c>
      <c r="J44" s="23">
        <f>I44/H110*1000</f>
        <v/>
      </c>
      <c r="K44" s="23">
        <f>I44/I110</f>
        <v/>
      </c>
      <c r="L44" s="28">
        <f>K44/J44</f>
        <v/>
      </c>
      <c r="M44" s="23">
        <f>K44*G110</f>
        <v/>
      </c>
      <c r="N44" s="16">
        <f>IFERROR(I44/M44,"")</f>
        <v/>
      </c>
    </row>
    <row r="45">
      <c r="B45" s="19" t="inlineStr">
        <is>
          <t>AP</t>
        </is>
      </c>
      <c r="C45" s="32" t="inlineStr">
        <is>
          <t>SS_AP_GL_Search_Brand_Cotizaciones_2022_Performance</t>
        </is>
      </c>
      <c r="D45" s="32" t="inlineStr">
        <is>
          <t>Google Ads</t>
        </is>
      </c>
      <c r="E45" s="38" t="n">
        <v>15376</v>
      </c>
      <c r="F45" s="20">
        <f>E45*(1+$C$92)*$E$88</f>
        <v/>
      </c>
      <c r="G45" s="20">
        <f>E45*(1+$C$93)*$E$89</f>
        <v/>
      </c>
      <c r="H45" s="20">
        <f>E45*(1+$C$94)*$E$90</f>
        <v/>
      </c>
      <c r="I45" s="20">
        <f>SUM(F45:H45)</f>
        <v/>
      </c>
      <c r="J45" s="24">
        <f>I45/H111*1000</f>
        <v/>
      </c>
      <c r="K45" s="24">
        <f>I45/I111</f>
        <v/>
      </c>
      <c r="L45" s="39">
        <f>K45/J45</f>
        <v/>
      </c>
      <c r="M45" s="24">
        <f>K45*G111</f>
        <v/>
      </c>
      <c r="N45" s="20">
        <f>IFERROR(I45/M45,"")</f>
        <v/>
      </c>
    </row>
    <row r="46">
      <c r="B46" s="15" t="inlineStr">
        <is>
          <t>AP</t>
        </is>
      </c>
      <c r="C46" s="30" t="inlineStr">
        <is>
          <t>SS_AP_GL_Search_Not Brand_Cotizaciones_2022_Performance</t>
        </is>
      </c>
      <c r="D46" s="30" t="inlineStr">
        <is>
          <t>Google Ads</t>
        </is>
      </c>
      <c r="E46" s="38" t="n">
        <v>30365</v>
      </c>
      <c r="F46" s="16">
        <f>E46*(1+$C$92)*$E$88</f>
        <v/>
      </c>
      <c r="G46" s="16">
        <f>E46*(1+$C$93)*$E$89</f>
        <v/>
      </c>
      <c r="H46" s="16">
        <f>E46*(1+$C$94)*$E$90</f>
        <v/>
      </c>
      <c r="I46" s="16">
        <f>SUM(F46:H46)</f>
        <v/>
      </c>
      <c r="J46" s="23">
        <f>I46/H112*1000</f>
        <v/>
      </c>
      <c r="K46" s="23">
        <f>I46/I112</f>
        <v/>
      </c>
      <c r="L46" s="28">
        <f>K46/J46</f>
        <v/>
      </c>
      <c r="M46" s="23">
        <f>K46*G112</f>
        <v/>
      </c>
      <c r="N46" s="16">
        <f>IFERROR(I46/M46,"")</f>
        <v/>
      </c>
    </row>
    <row r="47">
      <c r="B47" s="19" t="inlineStr">
        <is>
          <t>AP</t>
        </is>
      </c>
      <c r="C47" s="32" t="inlineStr">
        <is>
          <t>SS_AP_GL_PMax_Conversiones_2024</t>
        </is>
      </c>
      <c r="D47" s="32" t="inlineStr">
        <is>
          <t>Google Ads</t>
        </is>
      </c>
      <c r="E47" s="38" t="n">
        <v>28545</v>
      </c>
      <c r="F47" s="20">
        <f>E47*(1+$C$92)*$E$88</f>
        <v/>
      </c>
      <c r="G47" s="20">
        <f>E47*(1+$C$93)*$E$89</f>
        <v/>
      </c>
      <c r="H47" s="20">
        <f>E47*(1+$C$94)*$E$90</f>
        <v/>
      </c>
      <c r="I47" s="20">
        <f>SUM(F47:H47)</f>
        <v/>
      </c>
      <c r="J47" s="24">
        <f>I47/H113*1000</f>
        <v/>
      </c>
      <c r="K47" s="24">
        <f>I47/I113</f>
        <v/>
      </c>
      <c r="L47" s="39">
        <f>K47/J47</f>
        <v/>
      </c>
      <c r="M47" s="24">
        <f>K47*G113</f>
        <v/>
      </c>
      <c r="N47" s="20">
        <f>IFERROR(I47/M47,"")</f>
        <v/>
      </c>
    </row>
    <row r="48">
      <c r="B48" s="15" t="inlineStr">
        <is>
          <t>AP</t>
        </is>
      </c>
      <c r="C48" s="30" t="inlineStr">
        <is>
          <t>SS_AP_FB_Conversiones_2024</t>
        </is>
      </c>
      <c r="D48" s="30" t="inlineStr">
        <is>
          <t>Meta Ads</t>
        </is>
      </c>
      <c r="E48" s="38" t="n">
        <v>23566</v>
      </c>
      <c r="F48" s="16">
        <f>E48*(1+$C$92)*$E$88</f>
        <v/>
      </c>
      <c r="G48" s="16">
        <f>E48*(1+$C$93)*$E$89</f>
        <v/>
      </c>
      <c r="H48" s="16">
        <f>E48*(1+$C$94)*$E$90</f>
        <v/>
      </c>
      <c r="I48" s="16">
        <f>SUM(F48:H48)</f>
        <v/>
      </c>
      <c r="J48" s="23">
        <f>I48/H114*1000</f>
        <v/>
      </c>
      <c r="K48" s="23">
        <f>I48/I114</f>
        <v/>
      </c>
      <c r="L48" s="28">
        <f>K48/J48</f>
        <v/>
      </c>
      <c r="M48" s="23">
        <f>K48*G114</f>
        <v/>
      </c>
      <c r="N48" s="16">
        <f>IFERROR(I48/M48,"")</f>
        <v/>
      </c>
    </row>
    <row r="49">
      <c r="B49" s="19" t="inlineStr">
        <is>
          <t>Hogar</t>
        </is>
      </c>
      <c r="C49" s="32" t="inlineStr">
        <is>
          <t>SS_Hogar_GL_PMax_Conversiones_2023_Performance</t>
        </is>
      </c>
      <c r="D49" s="32" t="inlineStr">
        <is>
          <t>Google Ads</t>
        </is>
      </c>
      <c r="E49" s="20">
        <f>ROUND(52384*(1+$C$96),0)</f>
        <v/>
      </c>
      <c r="F49" s="20">
        <f>E49*(1+$C$92)*$E$88</f>
        <v/>
      </c>
      <c r="G49" s="20">
        <f>E49*(1+$C$93)*$E$89</f>
        <v/>
      </c>
      <c r="H49" s="20">
        <f>E49*(1+$C$94)*$E$90</f>
        <v/>
      </c>
      <c r="I49" s="20">
        <f>SUM(F49:H49)</f>
        <v/>
      </c>
      <c r="J49" s="24">
        <f>I49/H115*1000</f>
        <v/>
      </c>
      <c r="K49" s="24">
        <f>I49/I115</f>
        <v/>
      </c>
      <c r="L49" s="39">
        <f>K49/J49</f>
        <v/>
      </c>
      <c r="M49" s="24">
        <f>K49*G115</f>
        <v/>
      </c>
      <c r="N49" s="20">
        <f>IFERROR(I49/M49,"")</f>
        <v/>
      </c>
    </row>
    <row r="50">
      <c r="B50" s="15" t="inlineStr">
        <is>
          <t>Hogar</t>
        </is>
      </c>
      <c r="C50" s="30" t="inlineStr">
        <is>
          <t>SS_Hogar_GL_Search_Not Brand_Cotizaciones_2022_Performance</t>
        </is>
      </c>
      <c r="D50" s="30" t="inlineStr">
        <is>
          <t>Google Ads</t>
        </is>
      </c>
      <c r="E50" s="16">
        <f>ROUND(28419*(1+$C$96),0)</f>
        <v/>
      </c>
      <c r="F50" s="16">
        <f>E50*(1+$C$92)*$E$88</f>
        <v/>
      </c>
      <c r="G50" s="16">
        <f>E50*(1+$C$93)*$E$89</f>
        <v/>
      </c>
      <c r="H50" s="16">
        <f>E50*(1+$C$94)*$E$90</f>
        <v/>
      </c>
      <c r="I50" s="16">
        <f>SUM(F50:H50)</f>
        <v/>
      </c>
      <c r="J50" s="23">
        <f>I50/H116*1000</f>
        <v/>
      </c>
      <c r="K50" s="23">
        <f>I50/I116</f>
        <v/>
      </c>
      <c r="L50" s="28">
        <f>K50/J50</f>
        <v/>
      </c>
      <c r="M50" s="23">
        <f>K50*G116</f>
        <v/>
      </c>
      <c r="N50" s="16">
        <f>IFERROR(I50/M50,"")</f>
        <v/>
      </c>
    </row>
    <row r="51">
      <c r="B51" s="19" t="inlineStr">
        <is>
          <t>Hogar</t>
        </is>
      </c>
      <c r="C51" s="32" t="inlineStr">
        <is>
          <t>SS_Hogar_GL_Search_Brand_Cotizaciones_2022_Performance</t>
        </is>
      </c>
      <c r="D51" s="32" t="inlineStr">
        <is>
          <t>Google Ads</t>
        </is>
      </c>
      <c r="E51" s="20">
        <f>ROUND(6759*(1+$C$96),0)</f>
        <v/>
      </c>
      <c r="F51" s="20">
        <f>E51*(1+$C$92)*$E$88</f>
        <v/>
      </c>
      <c r="G51" s="20">
        <f>E51*(1+$C$93)*$E$89</f>
        <v/>
      </c>
      <c r="H51" s="20">
        <f>E51*(1+$C$94)*$E$90</f>
        <v/>
      </c>
      <c r="I51" s="20">
        <f>SUM(F51:H51)</f>
        <v/>
      </c>
      <c r="J51" s="24">
        <f>I51/H117*1000</f>
        <v/>
      </c>
      <c r="K51" s="24">
        <f>I51/I117</f>
        <v/>
      </c>
      <c r="L51" s="39">
        <f>K51/J51</f>
        <v/>
      </c>
      <c r="M51" s="24">
        <f>K51*G117</f>
        <v/>
      </c>
      <c r="N51" s="20">
        <f>IFERROR(I51/M51,"")</f>
        <v/>
      </c>
    </row>
    <row r="52">
      <c r="B52" s="15" t="inlineStr">
        <is>
          <t>SSM</t>
        </is>
      </c>
      <c r="C52" s="30" t="inlineStr">
        <is>
          <t>SS_SSM_GL_Search_NotBrand_CyberMonday_2026</t>
        </is>
      </c>
      <c r="D52" s="30" t="inlineStr">
        <is>
          <t>Google Ads</t>
        </is>
      </c>
      <c r="E52" s="38" t="n">
        <v>30000</v>
      </c>
      <c r="F52" s="16">
        <f>E52*(1+$C$92)*$E$88</f>
        <v/>
      </c>
      <c r="G52" s="16">
        <f>E52*(1+$C$93)*$E$89</f>
        <v/>
      </c>
      <c r="H52" s="16">
        <f>E52*(1+$C$94)*$E$90</f>
        <v/>
      </c>
      <c r="I52" s="16">
        <f>SUM(F52:H52)</f>
        <v/>
      </c>
      <c r="J52" s="23">
        <f>I52/H118*1000</f>
        <v/>
      </c>
      <c r="K52" s="23">
        <f>I52/I118</f>
        <v/>
      </c>
      <c r="L52" s="28">
        <f>K52/J52</f>
        <v/>
      </c>
      <c r="M52" s="23">
        <f>K52*G118</f>
        <v/>
      </c>
      <c r="N52" s="16">
        <f>IFERROR(I52/M52,"")</f>
        <v/>
      </c>
    </row>
    <row r="53">
      <c r="B53" s="19" t="inlineStr">
        <is>
          <t>Teaser de marca</t>
        </is>
      </c>
      <c r="C53" s="32" t="inlineStr">
        <is>
          <t>SS_CyberMonday_GL_DemandGen_Trafico_2026</t>
        </is>
      </c>
      <c r="D53" s="32" t="inlineStr">
        <is>
          <t>Google Ads</t>
        </is>
      </c>
      <c r="E53" s="38" t="n">
        <v>40000</v>
      </c>
      <c r="F53" s="20">
        <f>E53*$E$88</f>
        <v/>
      </c>
      <c r="G53" s="20" t="n">
        <v>0</v>
      </c>
      <c r="H53" s="20" t="n">
        <v>0</v>
      </c>
      <c r="I53" s="20">
        <f>SUM(F53:H53)</f>
        <v/>
      </c>
      <c r="J53" s="24">
        <f>I53/H119*1000</f>
        <v/>
      </c>
      <c r="K53" s="24">
        <f>I53/I119</f>
        <v/>
      </c>
      <c r="L53" s="39">
        <f>K53/J53</f>
        <v/>
      </c>
      <c r="M53" s="22" t="inlineStr">
        <is>
          <t>–</t>
        </is>
      </c>
      <c r="N53" s="22" t="inlineStr">
        <is>
          <t>–</t>
        </is>
      </c>
    </row>
    <row r="54">
      <c r="B54" s="15" t="inlineStr">
        <is>
          <t>Teaser de marca</t>
        </is>
      </c>
      <c r="C54" s="30" t="inlineStr">
        <is>
          <t>SS_SancorSeguros_FB_Trafico_CyberMonday_Teaser_2026</t>
        </is>
      </c>
      <c r="D54" s="30" t="inlineStr">
        <is>
          <t>Meta Ads</t>
        </is>
      </c>
      <c r="E54" s="38" t="n">
        <v>40000</v>
      </c>
      <c r="F54" s="16">
        <f>E54*$E$88</f>
        <v/>
      </c>
      <c r="G54" s="16" t="n">
        <v>0</v>
      </c>
      <c r="H54" s="16" t="n">
        <v>0</v>
      </c>
      <c r="I54" s="16">
        <f>SUM(F54:H54)</f>
        <v/>
      </c>
      <c r="J54" s="23">
        <f>I54/H120*1000</f>
        <v/>
      </c>
      <c r="K54" s="23">
        <f>I54/I120</f>
        <v/>
      </c>
      <c r="L54" s="28">
        <f>K54/J54</f>
        <v/>
      </c>
      <c r="M54" s="18" t="inlineStr">
        <is>
          <t>–</t>
        </is>
      </c>
      <c r="N54" s="18" t="inlineStr">
        <is>
          <t>–</t>
        </is>
      </c>
    </row>
    <row r="55" ht="20" customHeight="1">
      <c r="B55" s="25" t="inlineStr">
        <is>
          <t>Total escenario conservador</t>
        </is>
      </c>
      <c r="C55" s="34" t="inlineStr"/>
      <c r="D55" s="34" t="inlineStr"/>
      <c r="E55" s="27">
        <f>SUM(E34:E54)</f>
        <v/>
      </c>
      <c r="F55" s="27">
        <f>SUM(F34:F54)</f>
        <v/>
      </c>
      <c r="G55" s="27">
        <f>SUM(G34:G54)</f>
        <v/>
      </c>
      <c r="H55" s="27">
        <f>SUM(H34:H54)</f>
        <v/>
      </c>
      <c r="I55" s="27">
        <f>SUM(I34:I54)</f>
        <v/>
      </c>
      <c r="J55" s="40">
        <f>SUM(J34:J54)</f>
        <v/>
      </c>
      <c r="K55" s="40">
        <f>SUM(K34:K54)</f>
        <v/>
      </c>
      <c r="L55" s="41">
        <f>K55/J55</f>
        <v/>
      </c>
      <c r="M55" s="40">
        <f>SUM(M34:M54)</f>
        <v/>
      </c>
      <c r="N55" s="27">
        <f>(I55-I53-I54)/M55</f>
        <v/>
      </c>
    </row>
    <row r="56">
      <c r="B56" s="29" t="inlineStr">
        <is>
          <t>Teaser: productos al día común. Cyber Monday y Cyber Week: día común más la suba de Supuestos. Cotizaciones: cotizaciones completas según la plataforma.</t>
        </is>
      </c>
    </row>
    <row r="58" ht="24" customHeight="1">
      <c r="B58" s="36" t="inlineStr">
        <is>
          <t>DETALLE POR CAMPAÑA · ESCENARIO AGRESIVO</t>
        </is>
      </c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37" t="n"/>
    </row>
    <row r="59" ht="30" customHeight="1">
      <c r="B59" s="14" t="inlineStr">
        <is>
          <t>Producto</t>
        </is>
      </c>
      <c r="C59" s="14" t="inlineStr">
        <is>
          <t>Campaña</t>
        </is>
      </c>
      <c r="D59" s="14" t="inlineStr">
        <is>
          <t>Medio</t>
        </is>
      </c>
      <c r="E59" s="14" t="inlineStr">
        <is>
          <t>% del extra</t>
        </is>
      </c>
      <c r="F59" s="14" t="inlineStr">
        <is>
          <t>Teaser</t>
        </is>
      </c>
      <c r="G59" s="14" t="inlineStr">
        <is>
          <t>Cyber Monday</t>
        </is>
      </c>
      <c r="H59" s="14" t="inlineStr">
        <is>
          <t>Cyber Week</t>
        </is>
      </c>
      <c r="I59" s="14" t="inlineStr">
        <is>
          <t>Inversión total</t>
        </is>
      </c>
      <c r="J59" s="14" t="inlineStr">
        <is>
          <t>Impresiones</t>
        </is>
      </c>
      <c r="K59" s="14" t="inlineStr">
        <is>
          <t>Clics</t>
        </is>
      </c>
      <c r="L59" s="14" t="inlineStr">
        <is>
          <t>CTR</t>
        </is>
      </c>
      <c r="M59" s="14" t="inlineStr">
        <is>
          <t>Cotizaciones</t>
        </is>
      </c>
      <c r="N59" s="14" t="inlineStr">
        <is>
          <t>CPA</t>
        </is>
      </c>
    </row>
    <row r="60">
      <c r="B60" s="15" t="inlineStr">
        <is>
          <t>Auto</t>
        </is>
      </c>
      <c r="C60" s="30" t="inlineStr">
        <is>
          <t>SS_Auto_GL_Search_BrandSancor_Cotizaciones_2023_Performance</t>
        </is>
      </c>
      <c r="D60" s="30" t="inlineStr">
        <is>
          <t>Google Ads</t>
        </is>
      </c>
      <c r="E60" s="42" t="n">
        <v>0.3</v>
      </c>
      <c r="F60" s="16">
        <f>F34+SUMIF($B$34:$B$54,B60,$E$34:$E$54)*($D$92-$C$92)*$E$88*E60</f>
        <v/>
      </c>
      <c r="G60" s="16">
        <f>G34+SUMIF($B$34:$B$54,B60,$E$34:$E$54)*($D$93-$C$93)*$E$89*E60</f>
        <v/>
      </c>
      <c r="H60" s="16">
        <f>H34+SUMIF($B$34:$B$54,B60,$E$34:$E$54)*($D$94-$C$94)*$E$90*E60</f>
        <v/>
      </c>
      <c r="I60" s="16">
        <f>SUM(F60:H60)</f>
        <v/>
      </c>
      <c r="J60" s="23">
        <f>I60/H100*1000</f>
        <v/>
      </c>
      <c r="K60" s="23">
        <f>I60/I100</f>
        <v/>
      </c>
      <c r="L60" s="28">
        <f>K60/J60</f>
        <v/>
      </c>
      <c r="M60" s="23">
        <f>K60*G100</f>
        <v/>
      </c>
      <c r="N60" s="16">
        <f>IFERROR(I60/M60,"")</f>
        <v/>
      </c>
    </row>
    <row r="61">
      <c r="B61" s="19" t="inlineStr">
        <is>
          <t>Auto</t>
        </is>
      </c>
      <c r="C61" s="32" t="inlineStr">
        <is>
          <t>SS_Auto_GL_Search_Category_Intent_2023_Performance</t>
        </is>
      </c>
      <c r="D61" s="32" t="inlineStr">
        <is>
          <t>Google Ads</t>
        </is>
      </c>
      <c r="E61" s="42" t="n">
        <v>0</v>
      </c>
      <c r="F61" s="20">
        <f>F35+SUMIF($B$34:$B$54,B61,$E$34:$E$54)*($D$92-$C$92)*$E$88*E61</f>
        <v/>
      </c>
      <c r="G61" s="20">
        <f>G35+SUMIF($B$34:$B$54,B61,$E$34:$E$54)*($D$93-$C$93)*$E$89*E61</f>
        <v/>
      </c>
      <c r="H61" s="20">
        <f>H35+SUMIF($B$34:$B$54,B61,$E$34:$E$54)*($D$94-$C$94)*$E$90*E61</f>
        <v/>
      </c>
      <c r="I61" s="20">
        <f>SUM(F61:H61)</f>
        <v/>
      </c>
      <c r="J61" s="24">
        <f>I61/H101*1000</f>
        <v/>
      </c>
      <c r="K61" s="24">
        <f>I61/I101</f>
        <v/>
      </c>
      <c r="L61" s="39">
        <f>K61/J61</f>
        <v/>
      </c>
      <c r="M61" s="24">
        <f>K61*G101</f>
        <v/>
      </c>
      <c r="N61" s="20">
        <f>IFERROR(I61/M61,"")</f>
        <v/>
      </c>
    </row>
    <row r="62">
      <c r="B62" s="15" t="inlineStr">
        <is>
          <t>Auto</t>
        </is>
      </c>
      <c r="C62" s="30" t="inlineStr">
        <is>
          <t>SS_Auto_GL_PMax_Conversiones_2023_Performance</t>
        </is>
      </c>
      <c r="D62" s="30" t="inlineStr">
        <is>
          <t>Google Ads</t>
        </is>
      </c>
      <c r="E62" s="42" t="n">
        <v>0.7</v>
      </c>
      <c r="F62" s="16">
        <f>F36+SUMIF($B$34:$B$54,B62,$E$34:$E$54)*($D$92-$C$92)*$E$88*E62</f>
        <v/>
      </c>
      <c r="G62" s="16">
        <f>G36+SUMIF($B$34:$B$54,B62,$E$34:$E$54)*($D$93-$C$93)*$E$89*E62</f>
        <v/>
      </c>
      <c r="H62" s="16">
        <f>H36+SUMIF($B$34:$B$54,B62,$E$34:$E$54)*($D$94-$C$94)*$E$90*E62</f>
        <v/>
      </c>
      <c r="I62" s="16">
        <f>SUM(F62:H62)</f>
        <v/>
      </c>
      <c r="J62" s="23">
        <f>I62/H102*1000</f>
        <v/>
      </c>
      <c r="K62" s="23">
        <f>I62/I102</f>
        <v/>
      </c>
      <c r="L62" s="28">
        <f>K62/J62</f>
        <v/>
      </c>
      <c r="M62" s="23">
        <f>K62*G102</f>
        <v/>
      </c>
      <c r="N62" s="16">
        <f>IFERROR(I62/M62,"")</f>
        <v/>
      </c>
    </row>
    <row r="63">
      <c r="B63" s="19" t="inlineStr">
        <is>
          <t>Auto</t>
        </is>
      </c>
      <c r="C63" s="32" t="inlineStr">
        <is>
          <t>SS_Auto_FB_Conversiones_RMKT_2023</t>
        </is>
      </c>
      <c r="D63" s="32" t="inlineStr">
        <is>
          <t>Meta Ads</t>
        </is>
      </c>
      <c r="E63" s="42" t="n">
        <v>0</v>
      </c>
      <c r="F63" s="20">
        <f>F37+SUMIF($B$34:$B$54,B63,$E$34:$E$54)*($D$92-$C$92)*$E$88*E63</f>
        <v/>
      </c>
      <c r="G63" s="20">
        <f>G37+SUMIF($B$34:$B$54,B63,$E$34:$E$54)*($D$93-$C$93)*$E$89*E63</f>
        <v/>
      </c>
      <c r="H63" s="20">
        <f>H37+SUMIF($B$34:$B$54,B63,$E$34:$E$54)*($D$94-$C$94)*$E$90*E63</f>
        <v/>
      </c>
      <c r="I63" s="20">
        <f>SUM(F63:H63)</f>
        <v/>
      </c>
      <c r="J63" s="24">
        <f>I63/H103*1000</f>
        <v/>
      </c>
      <c r="K63" s="24">
        <f>I63/I103</f>
        <v/>
      </c>
      <c r="L63" s="39">
        <f>K63/J63</f>
        <v/>
      </c>
      <c r="M63" s="24">
        <f>K63*G103</f>
        <v/>
      </c>
      <c r="N63" s="20">
        <f>IFERROR(I63/M63,"")</f>
        <v/>
      </c>
    </row>
    <row r="64">
      <c r="B64" s="15" t="inlineStr">
        <is>
          <t>Moto</t>
        </is>
      </c>
      <c r="C64" s="30" t="inlineStr">
        <is>
          <t>SS_Moto_GL_PMax_Conversiones_2023_Performance</t>
        </is>
      </c>
      <c r="D64" s="30" t="inlineStr">
        <is>
          <t>Google Ads</t>
        </is>
      </c>
      <c r="E64" s="42" t="n">
        <v>1</v>
      </c>
      <c r="F64" s="16">
        <f>F38+SUMIF($B$34:$B$54,B64,$E$34:$E$54)*($D$92-$C$92)*$E$88*E64</f>
        <v/>
      </c>
      <c r="G64" s="16">
        <f>G38+SUMIF($B$34:$B$54,B64,$E$34:$E$54)*($D$93-$C$93)*$E$89*E64</f>
        <v/>
      </c>
      <c r="H64" s="16">
        <f>H38+SUMIF($B$34:$B$54,B64,$E$34:$E$54)*($D$94-$C$94)*$E$90*E64</f>
        <v/>
      </c>
      <c r="I64" s="16">
        <f>SUM(F64:H64)</f>
        <v/>
      </c>
      <c r="J64" s="23">
        <f>I64/H104*1000</f>
        <v/>
      </c>
      <c r="K64" s="23">
        <f>I64/I104</f>
        <v/>
      </c>
      <c r="L64" s="28">
        <f>K64/J64</f>
        <v/>
      </c>
      <c r="M64" s="23">
        <f>K64*G104</f>
        <v/>
      </c>
      <c r="N64" s="16">
        <f>IFERROR(I64/M64,"")</f>
        <v/>
      </c>
    </row>
    <row r="65">
      <c r="B65" s="19" t="inlineStr">
        <is>
          <t>Moto</t>
        </is>
      </c>
      <c r="C65" s="32" t="inlineStr">
        <is>
          <t>SS_Moto_GL_Search_Not Brand_Cotizaciones_2023_Performance</t>
        </is>
      </c>
      <c r="D65" s="32" t="inlineStr">
        <is>
          <t>Google Ads</t>
        </is>
      </c>
      <c r="E65" s="42" t="n">
        <v>0</v>
      </c>
      <c r="F65" s="20">
        <f>F39+SUMIF($B$34:$B$54,B65,$E$34:$E$54)*($D$92-$C$92)*$E$88*E65</f>
        <v/>
      </c>
      <c r="G65" s="20">
        <f>G39+SUMIF($B$34:$B$54,B65,$E$34:$E$54)*($D$93-$C$93)*$E$89*E65</f>
        <v/>
      </c>
      <c r="H65" s="20">
        <f>H39+SUMIF($B$34:$B$54,B65,$E$34:$E$54)*($D$94-$C$94)*$E$90*E65</f>
        <v/>
      </c>
      <c r="I65" s="20">
        <f>SUM(F65:H65)</f>
        <v/>
      </c>
      <c r="J65" s="24">
        <f>I65/H105*1000</f>
        <v/>
      </c>
      <c r="K65" s="24">
        <f>I65/I105</f>
        <v/>
      </c>
      <c r="L65" s="39">
        <f>K65/J65</f>
        <v/>
      </c>
      <c r="M65" s="24">
        <f>K65*G105</f>
        <v/>
      </c>
      <c r="N65" s="20">
        <f>IFERROR(I65/M65,"")</f>
        <v/>
      </c>
    </row>
    <row r="66">
      <c r="B66" s="15" t="inlineStr">
        <is>
          <t>Moto</t>
        </is>
      </c>
      <c r="C66" s="30" t="inlineStr">
        <is>
          <t>SS_Moto_FB_Conversiones_2023</t>
        </is>
      </c>
      <c r="D66" s="30" t="inlineStr">
        <is>
          <t>Meta Ads</t>
        </is>
      </c>
      <c r="E66" s="42" t="n">
        <v>0</v>
      </c>
      <c r="F66" s="16">
        <f>F40+SUMIF($B$34:$B$54,B66,$E$34:$E$54)*($D$92-$C$92)*$E$88*E66</f>
        <v/>
      </c>
      <c r="G66" s="16">
        <f>G40+SUMIF($B$34:$B$54,B66,$E$34:$E$54)*($D$93-$C$93)*$E$89*E66</f>
        <v/>
      </c>
      <c r="H66" s="16">
        <f>H40+SUMIF($B$34:$B$54,B66,$E$34:$E$54)*($D$94-$C$94)*$E$90*E66</f>
        <v/>
      </c>
      <c r="I66" s="16">
        <f>SUM(F66:H66)</f>
        <v/>
      </c>
      <c r="J66" s="23">
        <f>I66/H106*1000</f>
        <v/>
      </c>
      <c r="K66" s="23">
        <f>I66/I106</f>
        <v/>
      </c>
      <c r="L66" s="28">
        <f>K66/J66</f>
        <v/>
      </c>
      <c r="M66" s="23">
        <f>K66*G106</f>
        <v/>
      </c>
      <c r="N66" s="16">
        <f>IFERROR(I66/M66,"")</f>
        <v/>
      </c>
    </row>
    <row r="67">
      <c r="B67" s="19" t="inlineStr">
        <is>
          <t>Movilidad</t>
        </is>
      </c>
      <c r="C67" s="32" t="inlineStr">
        <is>
          <t>SS_Movilidad_GL_Search_NotBrand_Conversiones_2023</t>
        </is>
      </c>
      <c r="D67" s="32" t="inlineStr">
        <is>
          <t>Google Ads</t>
        </is>
      </c>
      <c r="E67" s="42" t="n">
        <v>0</v>
      </c>
      <c r="F67" s="20">
        <f>F41+SUMIF($B$34:$B$54,B67,$E$34:$E$54)*($D$92-$C$92)*$E$88*E67</f>
        <v/>
      </c>
      <c r="G67" s="20">
        <f>G41+SUMIF($B$34:$B$54,B67,$E$34:$E$54)*($D$93-$C$93)*$E$89*E67</f>
        <v/>
      </c>
      <c r="H67" s="20">
        <f>H41+SUMIF($B$34:$B$54,B67,$E$34:$E$54)*($D$94-$C$94)*$E$90*E67</f>
        <v/>
      </c>
      <c r="I67" s="20">
        <f>SUM(F67:H67)</f>
        <v/>
      </c>
      <c r="J67" s="24">
        <f>I67/H107*1000</f>
        <v/>
      </c>
      <c r="K67" s="24">
        <f>I67/I107</f>
        <v/>
      </c>
      <c r="L67" s="39">
        <f>K67/J67</f>
        <v/>
      </c>
      <c r="M67" s="24">
        <f>K67*G107</f>
        <v/>
      </c>
      <c r="N67" s="20">
        <f>IFERROR(I67/M67,"")</f>
        <v/>
      </c>
    </row>
    <row r="68">
      <c r="B68" s="15" t="inlineStr">
        <is>
          <t>Movilidad</t>
        </is>
      </c>
      <c r="C68" s="30" t="inlineStr">
        <is>
          <t>SS_Movilidad_GL_Search_Brand_Conversiones_2023</t>
        </is>
      </c>
      <c r="D68" s="30" t="inlineStr">
        <is>
          <t>Google Ads</t>
        </is>
      </c>
      <c r="E68" s="42" t="n">
        <v>0</v>
      </c>
      <c r="F68" s="16">
        <f>F42+SUMIF($B$34:$B$54,B68,$E$34:$E$54)*($D$92-$C$92)*$E$88*E68</f>
        <v/>
      </c>
      <c r="G68" s="16">
        <f>G42+SUMIF($B$34:$B$54,B68,$E$34:$E$54)*($D$93-$C$93)*$E$89*E68</f>
        <v/>
      </c>
      <c r="H68" s="16">
        <f>H42+SUMIF($B$34:$B$54,B68,$E$34:$E$54)*($D$94-$C$94)*$E$90*E68</f>
        <v/>
      </c>
      <c r="I68" s="16">
        <f>SUM(F68:H68)</f>
        <v/>
      </c>
      <c r="J68" s="23">
        <f>I68/H108*1000</f>
        <v/>
      </c>
      <c r="K68" s="23">
        <f>I68/I108</f>
        <v/>
      </c>
      <c r="L68" s="28">
        <f>K68/J68</f>
        <v/>
      </c>
      <c r="M68" s="23">
        <f>K68*G108</f>
        <v/>
      </c>
      <c r="N68" s="16">
        <f>IFERROR(I68/M68,"")</f>
        <v/>
      </c>
    </row>
    <row r="69">
      <c r="B69" s="19" t="inlineStr">
        <is>
          <t>Movilidad</t>
        </is>
      </c>
      <c r="C69" s="32" t="inlineStr">
        <is>
          <t>SS_Movilidad_GL_PMax_Conversiones_2026_Performance</t>
        </is>
      </c>
      <c r="D69" s="32" t="inlineStr">
        <is>
          <t>Google Ads</t>
        </is>
      </c>
      <c r="E69" s="42" t="n">
        <v>0.4</v>
      </c>
      <c r="F69" s="20">
        <f>F43+SUMIF($B$34:$B$54,B69,$E$34:$E$54)*($D$92-$C$92)*$E$88*E69</f>
        <v/>
      </c>
      <c r="G69" s="20">
        <f>G43+SUMIF($B$34:$B$54,B69,$E$34:$E$54)*($D$93-$C$93)*$E$89*E69</f>
        <v/>
      </c>
      <c r="H69" s="20">
        <f>H43+SUMIF($B$34:$B$54,B69,$E$34:$E$54)*($D$94-$C$94)*$E$90*E69</f>
        <v/>
      </c>
      <c r="I69" s="20">
        <f>SUM(F69:H69)</f>
        <v/>
      </c>
      <c r="J69" s="24">
        <f>I69/H109*1000</f>
        <v/>
      </c>
      <c r="K69" s="24">
        <f>I69/I109</f>
        <v/>
      </c>
      <c r="L69" s="39">
        <f>K69/J69</f>
        <v/>
      </c>
      <c r="M69" s="24">
        <f>K69*G109</f>
        <v/>
      </c>
      <c r="N69" s="20">
        <f>IFERROR(I69/M69,"")</f>
        <v/>
      </c>
    </row>
    <row r="70">
      <c r="B70" s="15" t="inlineStr">
        <is>
          <t>Movilidad</t>
        </is>
      </c>
      <c r="C70" s="30" t="inlineStr">
        <is>
          <t>SS_Movilidad_Meta_Conversiones_2023</t>
        </is>
      </c>
      <c r="D70" s="30" t="inlineStr">
        <is>
          <t>Meta Ads</t>
        </is>
      </c>
      <c r="E70" s="42" t="n">
        <v>0.6</v>
      </c>
      <c r="F70" s="16">
        <f>F44+SUMIF($B$34:$B$54,B70,$E$34:$E$54)*($D$92-$C$92)*$E$88*E70</f>
        <v/>
      </c>
      <c r="G70" s="16">
        <f>G44+SUMIF($B$34:$B$54,B70,$E$34:$E$54)*($D$93-$C$93)*$E$89*E70</f>
        <v/>
      </c>
      <c r="H70" s="16">
        <f>H44+SUMIF($B$34:$B$54,B70,$E$34:$E$54)*($D$94-$C$94)*$E$90*E70</f>
        <v/>
      </c>
      <c r="I70" s="16">
        <f>SUM(F70:H70)</f>
        <v/>
      </c>
      <c r="J70" s="23">
        <f>I70/H110*1000</f>
        <v/>
      </c>
      <c r="K70" s="23">
        <f>I70/I110</f>
        <v/>
      </c>
      <c r="L70" s="28">
        <f>K70/J70</f>
        <v/>
      </c>
      <c r="M70" s="23">
        <f>K70*G110</f>
        <v/>
      </c>
      <c r="N70" s="16">
        <f>IFERROR(I70/M70,"")</f>
        <v/>
      </c>
    </row>
    <row r="71">
      <c r="B71" s="19" t="inlineStr">
        <is>
          <t>AP</t>
        </is>
      </c>
      <c r="C71" s="32" t="inlineStr">
        <is>
          <t>SS_AP_GL_Search_Brand_Cotizaciones_2022_Performance</t>
        </is>
      </c>
      <c r="D71" s="32" t="inlineStr">
        <is>
          <t>Google Ads</t>
        </is>
      </c>
      <c r="E71" s="42" t="n">
        <v>0</v>
      </c>
      <c r="F71" s="20">
        <f>F45+SUMIF($B$34:$B$54,B71,$E$34:$E$54)*($D$92-$C$92)*$E$88*E71</f>
        <v/>
      </c>
      <c r="G71" s="20">
        <f>G45+SUMIF($B$34:$B$54,B71,$E$34:$E$54)*($D$93-$C$93)*$E$89*E71</f>
        <v/>
      </c>
      <c r="H71" s="20">
        <f>H45+SUMIF($B$34:$B$54,B71,$E$34:$E$54)*($D$94-$C$94)*$E$90*E71</f>
        <v/>
      </c>
      <c r="I71" s="20">
        <f>SUM(F71:H71)</f>
        <v/>
      </c>
      <c r="J71" s="24">
        <f>I71/H111*1000</f>
        <v/>
      </c>
      <c r="K71" s="24">
        <f>I71/I111</f>
        <v/>
      </c>
      <c r="L71" s="39">
        <f>K71/J71</f>
        <v/>
      </c>
      <c r="M71" s="24">
        <f>K71*G111</f>
        <v/>
      </c>
      <c r="N71" s="20">
        <f>IFERROR(I71/M71,"")</f>
        <v/>
      </c>
    </row>
    <row r="72">
      <c r="B72" s="15" t="inlineStr">
        <is>
          <t>AP</t>
        </is>
      </c>
      <c r="C72" s="30" t="inlineStr">
        <is>
          <t>SS_AP_GL_Search_Not Brand_Cotizaciones_2022_Performance</t>
        </is>
      </c>
      <c r="D72" s="30" t="inlineStr">
        <is>
          <t>Google Ads</t>
        </is>
      </c>
      <c r="E72" s="42" t="n">
        <v>0</v>
      </c>
      <c r="F72" s="16">
        <f>F46+SUMIF($B$34:$B$54,B72,$E$34:$E$54)*($D$92-$C$92)*$E$88*E72</f>
        <v/>
      </c>
      <c r="G72" s="16">
        <f>G46+SUMIF($B$34:$B$54,B72,$E$34:$E$54)*($D$93-$C$93)*$E$89*E72</f>
        <v/>
      </c>
      <c r="H72" s="16">
        <f>H46+SUMIF($B$34:$B$54,B72,$E$34:$E$54)*($D$94-$C$94)*$E$90*E72</f>
        <v/>
      </c>
      <c r="I72" s="16">
        <f>SUM(F72:H72)</f>
        <v/>
      </c>
      <c r="J72" s="23">
        <f>I72/H112*1000</f>
        <v/>
      </c>
      <c r="K72" s="23">
        <f>I72/I112</f>
        <v/>
      </c>
      <c r="L72" s="28">
        <f>K72/J72</f>
        <v/>
      </c>
      <c r="M72" s="23">
        <f>K72*G112</f>
        <v/>
      </c>
      <c r="N72" s="16">
        <f>IFERROR(I72/M72,"")</f>
        <v/>
      </c>
    </row>
    <row r="73">
      <c r="B73" s="19" t="inlineStr">
        <is>
          <t>AP</t>
        </is>
      </c>
      <c r="C73" s="32" t="inlineStr">
        <is>
          <t>SS_AP_GL_PMax_Conversiones_2024</t>
        </is>
      </c>
      <c r="D73" s="32" t="inlineStr">
        <is>
          <t>Google Ads</t>
        </is>
      </c>
      <c r="E73" s="42" t="n">
        <v>0.6</v>
      </c>
      <c r="F73" s="20">
        <f>F47+SUMIF($B$34:$B$54,B73,$E$34:$E$54)*($D$92-$C$92)*$E$88*E73</f>
        <v/>
      </c>
      <c r="G73" s="20">
        <f>G47+SUMIF($B$34:$B$54,B73,$E$34:$E$54)*($D$93-$C$93)*$E$89*E73</f>
        <v/>
      </c>
      <c r="H73" s="20">
        <f>H47+SUMIF($B$34:$B$54,B73,$E$34:$E$54)*($D$94-$C$94)*$E$90*E73</f>
        <v/>
      </c>
      <c r="I73" s="20">
        <f>SUM(F73:H73)</f>
        <v/>
      </c>
      <c r="J73" s="24">
        <f>I73/H113*1000</f>
        <v/>
      </c>
      <c r="K73" s="24">
        <f>I73/I113</f>
        <v/>
      </c>
      <c r="L73" s="39">
        <f>K73/J73</f>
        <v/>
      </c>
      <c r="M73" s="24">
        <f>K73*G113</f>
        <v/>
      </c>
      <c r="N73" s="20">
        <f>IFERROR(I73/M73,"")</f>
        <v/>
      </c>
    </row>
    <row r="74">
      <c r="B74" s="15" t="inlineStr">
        <is>
          <t>AP</t>
        </is>
      </c>
      <c r="C74" s="30" t="inlineStr">
        <is>
          <t>SS_AP_FB_Conversiones_2024</t>
        </is>
      </c>
      <c r="D74" s="30" t="inlineStr">
        <is>
          <t>Meta Ads</t>
        </is>
      </c>
      <c r="E74" s="42" t="n">
        <v>0.4</v>
      </c>
      <c r="F74" s="16">
        <f>F48+SUMIF($B$34:$B$54,B74,$E$34:$E$54)*($D$92-$C$92)*$E$88*E74</f>
        <v/>
      </c>
      <c r="G74" s="16">
        <f>G48+SUMIF($B$34:$B$54,B74,$E$34:$E$54)*($D$93-$C$93)*$E$89*E74</f>
        <v/>
      </c>
      <c r="H74" s="16">
        <f>H48+SUMIF($B$34:$B$54,B74,$E$34:$E$54)*($D$94-$C$94)*$E$90*E74</f>
        <v/>
      </c>
      <c r="I74" s="16">
        <f>SUM(F74:H74)</f>
        <v/>
      </c>
      <c r="J74" s="23">
        <f>I74/H114*1000</f>
        <v/>
      </c>
      <c r="K74" s="23">
        <f>I74/I114</f>
        <v/>
      </c>
      <c r="L74" s="28">
        <f>K74/J74</f>
        <v/>
      </c>
      <c r="M74" s="23">
        <f>K74*G114</f>
        <v/>
      </c>
      <c r="N74" s="16">
        <f>IFERROR(I74/M74,"")</f>
        <v/>
      </c>
    </row>
    <row r="75">
      <c r="B75" s="19" t="inlineStr">
        <is>
          <t>Hogar</t>
        </is>
      </c>
      <c r="C75" s="32" t="inlineStr">
        <is>
          <t>SS_Hogar_GL_PMax_Conversiones_2023_Performance</t>
        </is>
      </c>
      <c r="D75" s="32" t="inlineStr">
        <is>
          <t>Google Ads</t>
        </is>
      </c>
      <c r="E75" s="42" t="n">
        <v>0</v>
      </c>
      <c r="F75" s="20">
        <f>F49+SUMIF($B$34:$B$54,B75,$E$34:$E$54)*($D$92-$C$92)*$E$88*E75</f>
        <v/>
      </c>
      <c r="G75" s="20">
        <f>G49+SUMIF($B$34:$B$54,B75,$E$34:$E$54)*($D$93-$C$93)*$E$89*E75</f>
        <v/>
      </c>
      <c r="H75" s="20">
        <f>H49+SUMIF($B$34:$B$54,B75,$E$34:$E$54)*($D$94-$C$94)*$E$90*E75</f>
        <v/>
      </c>
      <c r="I75" s="20">
        <f>SUM(F75:H75)</f>
        <v/>
      </c>
      <c r="J75" s="24">
        <f>I75/H115*1000</f>
        <v/>
      </c>
      <c r="K75" s="24">
        <f>I75/I115</f>
        <v/>
      </c>
      <c r="L75" s="39">
        <f>K75/J75</f>
        <v/>
      </c>
      <c r="M75" s="24">
        <f>K75*G115</f>
        <v/>
      </c>
      <c r="N75" s="20">
        <f>IFERROR(I75/M75,"")</f>
        <v/>
      </c>
    </row>
    <row r="76">
      <c r="B76" s="15" t="inlineStr">
        <is>
          <t>Hogar</t>
        </is>
      </c>
      <c r="C76" s="30" t="inlineStr">
        <is>
          <t>SS_Hogar_GL_Search_Not Brand_Cotizaciones_2022_Performance</t>
        </is>
      </c>
      <c r="D76" s="30" t="inlineStr">
        <is>
          <t>Google Ads</t>
        </is>
      </c>
      <c r="E76" s="42" t="n">
        <v>1</v>
      </c>
      <c r="F76" s="16">
        <f>F50+SUMIF($B$34:$B$54,B76,$E$34:$E$54)*($D$92-$C$92)*$E$88*E76</f>
        <v/>
      </c>
      <c r="G76" s="16">
        <f>G50+SUMIF($B$34:$B$54,B76,$E$34:$E$54)*($D$93-$C$93)*$E$89*E76</f>
        <v/>
      </c>
      <c r="H76" s="16">
        <f>H50+SUMIF($B$34:$B$54,B76,$E$34:$E$54)*($D$94-$C$94)*$E$90*E76</f>
        <v/>
      </c>
      <c r="I76" s="16">
        <f>SUM(F76:H76)</f>
        <v/>
      </c>
      <c r="J76" s="23">
        <f>I76/H116*1000</f>
        <v/>
      </c>
      <c r="K76" s="23">
        <f>I76/I116</f>
        <v/>
      </c>
      <c r="L76" s="28">
        <f>K76/J76</f>
        <v/>
      </c>
      <c r="M76" s="23">
        <f>K76*G116</f>
        <v/>
      </c>
      <c r="N76" s="16">
        <f>IFERROR(I76/M76,"")</f>
        <v/>
      </c>
    </row>
    <row r="77">
      <c r="B77" s="19" t="inlineStr">
        <is>
          <t>Hogar</t>
        </is>
      </c>
      <c r="C77" s="32" t="inlineStr">
        <is>
          <t>SS_Hogar_GL_Search_Brand_Cotizaciones_2022_Performance</t>
        </is>
      </c>
      <c r="D77" s="32" t="inlineStr">
        <is>
          <t>Google Ads</t>
        </is>
      </c>
      <c r="E77" s="42" t="n">
        <v>0</v>
      </c>
      <c r="F77" s="20">
        <f>F51+SUMIF($B$34:$B$54,B77,$E$34:$E$54)*($D$92-$C$92)*$E$88*E77</f>
        <v/>
      </c>
      <c r="G77" s="20">
        <f>G51+SUMIF($B$34:$B$54,B77,$E$34:$E$54)*($D$93-$C$93)*$E$89*E77</f>
        <v/>
      </c>
      <c r="H77" s="20">
        <f>H51+SUMIF($B$34:$B$54,B77,$E$34:$E$54)*($D$94-$C$94)*$E$90*E77</f>
        <v/>
      </c>
      <c r="I77" s="20">
        <f>SUM(F77:H77)</f>
        <v/>
      </c>
      <c r="J77" s="24">
        <f>I77/H117*1000</f>
        <v/>
      </c>
      <c r="K77" s="24">
        <f>I77/I117</f>
        <v/>
      </c>
      <c r="L77" s="39">
        <f>K77/J77</f>
        <v/>
      </c>
      <c r="M77" s="24">
        <f>K77*G117</f>
        <v/>
      </c>
      <c r="N77" s="20">
        <f>IFERROR(I77/M77,"")</f>
        <v/>
      </c>
    </row>
    <row r="78">
      <c r="B78" s="15" t="inlineStr">
        <is>
          <t>SSM</t>
        </is>
      </c>
      <c r="C78" s="30" t="inlineStr">
        <is>
          <t>SS_SSM_GL_Search_NotBrand_CyberMonday_2026</t>
        </is>
      </c>
      <c r="D78" s="30" t="inlineStr">
        <is>
          <t>Google Ads</t>
        </is>
      </c>
      <c r="E78" s="42" t="n">
        <v>1</v>
      </c>
      <c r="F78" s="16">
        <f>F52+SUMIF($B$34:$B$54,B78,$E$34:$E$54)*($D$92-$C$92)*$E$88*E78</f>
        <v/>
      </c>
      <c r="G78" s="16">
        <f>G52+SUMIF($B$34:$B$54,B78,$E$34:$E$54)*($D$93-$C$93)*$E$89*E78</f>
        <v/>
      </c>
      <c r="H78" s="16">
        <f>H52+SUMIF($B$34:$B$54,B78,$E$34:$E$54)*($D$94-$C$94)*$E$90*E78</f>
        <v/>
      </c>
      <c r="I78" s="16">
        <f>SUM(F78:H78)</f>
        <v/>
      </c>
      <c r="J78" s="23">
        <f>I78/H118*1000</f>
        <v/>
      </c>
      <c r="K78" s="23">
        <f>I78/I118</f>
        <v/>
      </c>
      <c r="L78" s="28">
        <f>K78/J78</f>
        <v/>
      </c>
      <c r="M78" s="23">
        <f>K78*G118</f>
        <v/>
      </c>
      <c r="N78" s="16">
        <f>IFERROR(I78/M78,"")</f>
        <v/>
      </c>
    </row>
    <row r="79">
      <c r="B79" s="19" t="inlineStr">
        <is>
          <t>Teaser de marca</t>
        </is>
      </c>
      <c r="C79" s="32" t="inlineStr">
        <is>
          <t>SS_CyberMonday_GL_DemandGen_Trafico_2026</t>
        </is>
      </c>
      <c r="D79" s="32" t="inlineStr">
        <is>
          <t>Google Ads</t>
        </is>
      </c>
      <c r="E79" s="22" t="inlineStr">
        <is>
          <t>–</t>
        </is>
      </c>
      <c r="F79" s="20">
        <f>F53</f>
        <v/>
      </c>
      <c r="G79" s="20">
        <f>G53</f>
        <v/>
      </c>
      <c r="H79" s="20">
        <f>H53</f>
        <v/>
      </c>
      <c r="I79" s="20">
        <f>SUM(F79:H79)</f>
        <v/>
      </c>
      <c r="J79" s="24">
        <f>I79/H119*1000</f>
        <v/>
      </c>
      <c r="K79" s="24">
        <f>I79/I119</f>
        <v/>
      </c>
      <c r="L79" s="39">
        <f>K79/J79</f>
        <v/>
      </c>
      <c r="M79" s="22" t="inlineStr">
        <is>
          <t>–</t>
        </is>
      </c>
      <c r="N79" s="22" t="inlineStr">
        <is>
          <t>–</t>
        </is>
      </c>
    </row>
    <row r="80">
      <c r="B80" s="15" t="inlineStr">
        <is>
          <t>Teaser de marca</t>
        </is>
      </c>
      <c r="C80" s="30" t="inlineStr">
        <is>
          <t>SS_SancorSeguros_FB_Trafico_CyberMonday_Teaser_2026</t>
        </is>
      </c>
      <c r="D80" s="30" t="inlineStr">
        <is>
          <t>Meta Ads</t>
        </is>
      </c>
      <c r="E80" s="18" t="inlineStr">
        <is>
          <t>–</t>
        </is>
      </c>
      <c r="F80" s="16">
        <f>F54</f>
        <v/>
      </c>
      <c r="G80" s="16">
        <f>G54</f>
        <v/>
      </c>
      <c r="H80" s="16">
        <f>H54</f>
        <v/>
      </c>
      <c r="I80" s="16">
        <f>SUM(F80:H80)</f>
        <v/>
      </c>
      <c r="J80" s="23">
        <f>I80/H120*1000</f>
        <v/>
      </c>
      <c r="K80" s="23">
        <f>I80/I120</f>
        <v/>
      </c>
      <c r="L80" s="28">
        <f>K80/J80</f>
        <v/>
      </c>
      <c r="M80" s="18" t="inlineStr">
        <is>
          <t>–</t>
        </is>
      </c>
      <c r="N80" s="18" t="inlineStr">
        <is>
          <t>–</t>
        </is>
      </c>
    </row>
    <row r="81" ht="20" customHeight="1">
      <c r="B81" s="25" t="inlineStr">
        <is>
          <t>Total escenario agresivo</t>
        </is>
      </c>
      <c r="C81" s="34" t="inlineStr"/>
      <c r="D81" s="34" t="inlineStr"/>
      <c r="E81" s="27" t="inlineStr"/>
      <c r="F81" s="27">
        <f>SUM(F60:F80)</f>
        <v/>
      </c>
      <c r="G81" s="27">
        <f>SUM(G60:G80)</f>
        <v/>
      </c>
      <c r="H81" s="27">
        <f>SUM(H60:H80)</f>
        <v/>
      </c>
      <c r="I81" s="27">
        <f>SUM(I60:I80)</f>
        <v/>
      </c>
      <c r="J81" s="40">
        <f>SUM(J60:J80)</f>
        <v/>
      </c>
      <c r="K81" s="40">
        <f>SUM(K60:K80)</f>
        <v/>
      </c>
      <c r="L81" s="41">
        <f>K81/J81</f>
        <v/>
      </c>
      <c r="M81" s="40">
        <f>SUM(M60:M80)</f>
        <v/>
      </c>
      <c r="N81" s="27">
        <f>(I81-I79-I80)/M81</f>
        <v/>
      </c>
    </row>
    <row r="82">
      <c r="B82" s="29" t="inlineStr">
        <is>
          <t>El agresivo suma la inversión extra de cada producto en sus campañas de mejor costo por cotización, según el % del extra.</t>
        </is>
      </c>
    </row>
    <row r="86" ht="24" customHeight="1">
      <c r="B86" s="12" t="inlineStr">
        <is>
          <t>SUPUESTOS</t>
        </is>
      </c>
      <c r="C86" s="13" t="n"/>
      <c r="D86" s="13" t="n"/>
      <c r="E86" s="13" t="n"/>
    </row>
    <row r="87" ht="30" customHeight="1">
      <c r="B87" s="14" t="inlineStr">
        <is>
          <t>Etapa</t>
        </is>
      </c>
      <c r="C87" s="14" t="inlineStr">
        <is>
          <t>Inicio</t>
        </is>
      </c>
      <c r="D87" s="14" t="inlineStr">
        <is>
          <t>Fin</t>
        </is>
      </c>
      <c r="E87" s="14" t="inlineStr">
        <is>
          <t>Días</t>
        </is>
      </c>
    </row>
    <row r="88">
      <c r="B88" s="15" t="inlineStr">
        <is>
          <t>Teaser</t>
        </is>
      </c>
      <c r="C88" s="43" t="n">
        <v>46324</v>
      </c>
      <c r="D88" s="43" t="n">
        <v>46327</v>
      </c>
      <c r="E88" s="23">
        <f>D88-C88+1</f>
        <v/>
      </c>
    </row>
    <row r="89">
      <c r="B89" s="15" t="inlineStr">
        <is>
          <t>Cyber Monday</t>
        </is>
      </c>
      <c r="C89" s="43" t="n">
        <v>46328</v>
      </c>
      <c r="D89" s="43" t="n">
        <v>46330</v>
      </c>
      <c r="E89" s="23">
        <f>D89-C89+1</f>
        <v/>
      </c>
    </row>
    <row r="90">
      <c r="B90" s="15" t="inlineStr">
        <is>
          <t>Cyber Week</t>
        </is>
      </c>
      <c r="C90" s="43" t="n">
        <v>46331</v>
      </c>
      <c r="D90" s="43" t="n">
        <v>46334</v>
      </c>
      <c r="E90" s="23">
        <f>D90-C90+1</f>
        <v/>
      </c>
    </row>
    <row r="91" ht="30" customHeight="1">
      <c r="B91" s="14" t="inlineStr">
        <is>
          <t>Suba sobre el día común</t>
        </is>
      </c>
      <c r="C91" s="14" t="inlineStr">
        <is>
          <t>Conservador</t>
        </is>
      </c>
      <c r="D91" s="14" t="inlineStr">
        <is>
          <t>Agresivo</t>
        </is>
      </c>
    </row>
    <row r="92">
      <c r="B92" s="15" t="inlineStr">
        <is>
          <t>Teaser</t>
        </is>
      </c>
      <c r="C92" s="42" t="n">
        <v>0</v>
      </c>
      <c r="D92" s="42" t="n">
        <v>0</v>
      </c>
    </row>
    <row r="93">
      <c r="B93" s="15" t="inlineStr">
        <is>
          <t>Cyber Monday</t>
        </is>
      </c>
      <c r="C93" s="42" t="n">
        <v>0.3</v>
      </c>
      <c r="D93" s="42" t="n">
        <v>0.6</v>
      </c>
    </row>
    <row r="94">
      <c r="B94" s="15" t="inlineStr">
        <is>
          <t>Cyber Week</t>
        </is>
      </c>
      <c r="C94" s="42" t="n">
        <v>0.15</v>
      </c>
      <c r="D94" s="42" t="n">
        <v>0.3</v>
      </c>
    </row>
    <row r="95">
      <c r="B95" s="15" t="inlineStr">
        <is>
          <t>Suba de CPM y CPC por evento</t>
        </is>
      </c>
      <c r="C95" s="42" t="n">
        <v>0.15</v>
      </c>
    </row>
    <row r="96">
      <c r="B96" s="15" t="inlineStr">
        <is>
          <t>Inflación sobre la base 2025 (Hogar)</t>
        </is>
      </c>
      <c r="C96" s="42" t="n">
        <v>0.22</v>
      </c>
    </row>
    <row r="98" ht="24" customHeight="1">
      <c r="B98" s="12" t="inlineStr">
        <is>
          <t>BENCHMARKS DE REFERENCIA</t>
        </is>
      </c>
      <c r="C98" s="13" t="n"/>
      <c r="D98" s="13" t="n"/>
      <c r="E98" s="13" t="n"/>
      <c r="F98" s="13" t="n"/>
      <c r="G98" s="13" t="n"/>
      <c r="H98" s="13" t="n"/>
      <c r="I98" s="13" t="n"/>
    </row>
    <row r="99" ht="30" customHeight="1">
      <c r="B99" s="14" t="inlineStr">
        <is>
          <t>Producto</t>
        </is>
      </c>
      <c r="C99" s="14" t="inlineStr">
        <is>
          <t>Campaña de referencia</t>
        </is>
      </c>
      <c r="D99" s="14" t="inlineStr">
        <is>
          <t>Período</t>
        </is>
      </c>
      <c r="E99" s="14" t="inlineStr">
        <is>
          <t>CPM</t>
        </is>
      </c>
      <c r="F99" s="14" t="inlineStr">
        <is>
          <t>CPC</t>
        </is>
      </c>
      <c r="G99" s="14" t="inlineStr">
        <is>
          <t>CR</t>
        </is>
      </c>
      <c r="H99" s="14" t="inlineStr">
        <is>
          <t>CPM con suba</t>
        </is>
      </c>
      <c r="I99" s="14" t="inlineStr">
        <is>
          <t>CPC con suba</t>
        </is>
      </c>
    </row>
    <row r="100">
      <c r="B100" s="15" t="inlineStr">
        <is>
          <t>Auto</t>
        </is>
      </c>
      <c r="C100" s="30" t="inlineStr">
        <is>
          <t>SS_Auto_GL_Search_BrandSancor_Cotizaciones_2023_Performance</t>
        </is>
      </c>
      <c r="D100" s="18" t="inlineStr">
        <is>
          <t>08/10 al 21/10/2026</t>
        </is>
      </c>
      <c r="E100" s="16" t="n">
        <v>77209</v>
      </c>
      <c r="F100" s="16" t="n">
        <v>494</v>
      </c>
      <c r="G100" s="28" t="n">
        <v>0.0146</v>
      </c>
      <c r="H100" s="16">
        <f>E100*(1+$C$95)</f>
        <v/>
      </c>
      <c r="I100" s="16">
        <f>F100*(1+$C$95)</f>
        <v/>
      </c>
    </row>
    <row r="101">
      <c r="B101" s="19" t="inlineStr">
        <is>
          <t>Auto</t>
        </is>
      </c>
      <c r="C101" s="32" t="inlineStr">
        <is>
          <t>SS_Auto_GL_Search_Category_Intent_2023_Performance</t>
        </is>
      </c>
      <c r="D101" s="22" t="inlineStr">
        <is>
          <t>08/10 al 21/10/2026</t>
        </is>
      </c>
      <c r="E101" s="20" t="n">
        <v>208546</v>
      </c>
      <c r="F101" s="20" t="n">
        <v>3148</v>
      </c>
      <c r="G101" s="39" t="n">
        <v>0.07530000000000001</v>
      </c>
      <c r="H101" s="20">
        <f>E101*(1+$C$95)</f>
        <v/>
      </c>
      <c r="I101" s="20">
        <f>F101*(1+$C$95)</f>
        <v/>
      </c>
    </row>
    <row r="102">
      <c r="B102" s="15" t="inlineStr">
        <is>
          <t>Auto</t>
        </is>
      </c>
      <c r="C102" s="30" t="inlineStr">
        <is>
          <t>SS_Auto_GL_PMax_Conversiones_2023_Performance</t>
        </is>
      </c>
      <c r="D102" s="18" t="inlineStr">
        <is>
          <t>08/10 al 21/10/2026</t>
        </is>
      </c>
      <c r="E102" s="16" t="n">
        <v>6240</v>
      </c>
      <c r="F102" s="16" t="n">
        <v>501</v>
      </c>
      <c r="G102" s="28" t="n">
        <v>0.0297</v>
      </c>
      <c r="H102" s="16">
        <f>E102*(1+$C$95)</f>
        <v/>
      </c>
      <c r="I102" s="16">
        <f>F102*(1+$C$95)</f>
        <v/>
      </c>
    </row>
    <row r="103">
      <c r="B103" s="19" t="inlineStr">
        <is>
          <t>Auto</t>
        </is>
      </c>
      <c r="C103" s="32" t="inlineStr">
        <is>
          <t>SS_Auto_FB_Conversiones_RMKT_2023</t>
        </is>
      </c>
      <c r="D103" s="22" t="inlineStr">
        <is>
          <t>08/10 al 21/10/2026</t>
        </is>
      </c>
      <c r="E103" s="20" t="n">
        <v>9979</v>
      </c>
      <c r="F103" s="20" t="n">
        <v>241</v>
      </c>
      <c r="G103" s="39" t="n">
        <v>0.0024</v>
      </c>
      <c r="H103" s="20">
        <f>E103*(1+$C$95)</f>
        <v/>
      </c>
      <c r="I103" s="20">
        <f>F103*(1+$C$95)</f>
        <v/>
      </c>
    </row>
    <row r="104">
      <c r="B104" s="15" t="inlineStr">
        <is>
          <t>Moto</t>
        </is>
      </c>
      <c r="C104" s="30" t="inlineStr">
        <is>
          <t>SS_Moto_GL_PMax_Conversiones_2023_Performance</t>
        </is>
      </c>
      <c r="D104" s="18" t="inlineStr">
        <is>
          <t>08/10 al 21/10/2026</t>
        </is>
      </c>
      <c r="E104" s="16" t="n">
        <v>6843</v>
      </c>
      <c r="F104" s="16" t="n">
        <v>98</v>
      </c>
      <c r="G104" s="28" t="n">
        <v>0.2273</v>
      </c>
      <c r="H104" s="16">
        <f>E104*(1+$C$95)</f>
        <v/>
      </c>
      <c r="I104" s="16">
        <f>F104*(1+$C$95)</f>
        <v/>
      </c>
    </row>
    <row r="105">
      <c r="B105" s="19" t="inlineStr">
        <is>
          <t>Moto</t>
        </is>
      </c>
      <c r="C105" s="32" t="inlineStr">
        <is>
          <t>SS_Moto_GL_Search_Not Brand_Cotizaciones_2023_Performance</t>
        </is>
      </c>
      <c r="D105" s="22" t="inlineStr">
        <is>
          <t>08/10 al 21/10/2026</t>
        </is>
      </c>
      <c r="E105" s="20" t="n">
        <v>111555</v>
      </c>
      <c r="F105" s="20" t="n">
        <v>678</v>
      </c>
      <c r="G105" s="39" t="n">
        <v>0.1351</v>
      </c>
      <c r="H105" s="20">
        <f>E105*(1+$C$95)</f>
        <v/>
      </c>
      <c r="I105" s="20">
        <f>F105*(1+$C$95)</f>
        <v/>
      </c>
    </row>
    <row r="106">
      <c r="B106" s="15" t="inlineStr">
        <is>
          <t>Moto</t>
        </is>
      </c>
      <c r="C106" s="30" t="inlineStr">
        <is>
          <t>SS_Moto_FB_Conversiones_2023</t>
        </is>
      </c>
      <c r="D106" s="18" t="inlineStr">
        <is>
          <t>08/10 al 21/10/2026</t>
        </is>
      </c>
      <c r="E106" s="16" t="n">
        <v>5033</v>
      </c>
      <c r="F106" s="16" t="n">
        <v>307</v>
      </c>
      <c r="G106" s="28" t="n">
        <v>0.0625</v>
      </c>
      <c r="H106" s="16">
        <f>E106*(1+$C$95)</f>
        <v/>
      </c>
      <c r="I106" s="16">
        <f>F106*(1+$C$95)</f>
        <v/>
      </c>
    </row>
    <row r="107">
      <c r="B107" s="19" t="inlineStr">
        <is>
          <t>Movilidad</t>
        </is>
      </c>
      <c r="C107" s="32" t="inlineStr">
        <is>
          <t>SS_Movilidad_GL_Search_NotBrand_Conversiones_2023</t>
        </is>
      </c>
      <c r="D107" s="22" t="inlineStr">
        <is>
          <t>08/10 al 21/10/2026</t>
        </is>
      </c>
      <c r="E107" s="20" t="n">
        <v>319703</v>
      </c>
      <c r="F107" s="20" t="n">
        <v>1882</v>
      </c>
      <c r="G107" s="39" t="n">
        <v>0.0667</v>
      </c>
      <c r="H107" s="20">
        <f>E107*(1+$C$95)</f>
        <v/>
      </c>
      <c r="I107" s="20">
        <f>F107*(1+$C$95)</f>
        <v/>
      </c>
    </row>
    <row r="108">
      <c r="B108" s="15" t="inlineStr">
        <is>
          <t>Movilidad</t>
        </is>
      </c>
      <c r="C108" s="30" t="inlineStr">
        <is>
          <t>SS_Movilidad_GL_Search_Brand_Conversiones_2023</t>
        </is>
      </c>
      <c r="D108" s="18" t="inlineStr">
        <is>
          <t>08/10 al 21/10/2026</t>
        </is>
      </c>
      <c r="E108" s="16" t="n">
        <v>474873</v>
      </c>
      <c r="F108" s="16" t="n">
        <v>1331</v>
      </c>
      <c r="G108" s="28" t="n">
        <v>0.0679</v>
      </c>
      <c r="H108" s="16">
        <f>E108*(1+$C$95)</f>
        <v/>
      </c>
      <c r="I108" s="16">
        <f>F108*(1+$C$95)</f>
        <v/>
      </c>
    </row>
    <row r="109">
      <c r="B109" s="19" t="inlineStr">
        <is>
          <t>Movilidad</t>
        </is>
      </c>
      <c r="C109" s="32" t="inlineStr">
        <is>
          <t>SS_Movilidad_GL_PMax_Conversiones_2026_Performance</t>
        </is>
      </c>
      <c r="D109" s="22" t="inlineStr">
        <is>
          <t>08/10 al 21/10/2026</t>
        </is>
      </c>
      <c r="E109" s="20" t="n">
        <v>10311</v>
      </c>
      <c r="F109" s="20" t="n">
        <v>209</v>
      </c>
      <c r="G109" s="39" t="n">
        <v>0.0224</v>
      </c>
      <c r="H109" s="20">
        <f>E109*(1+$C$95)</f>
        <v/>
      </c>
      <c r="I109" s="20">
        <f>F109*(1+$C$95)</f>
        <v/>
      </c>
    </row>
    <row r="110">
      <c r="B110" s="15" t="inlineStr">
        <is>
          <t>Movilidad</t>
        </is>
      </c>
      <c r="C110" s="30" t="inlineStr">
        <is>
          <t>SS_Movilidad_Meta_Conversiones_2023</t>
        </is>
      </c>
      <c r="D110" s="18" t="inlineStr">
        <is>
          <t>08/10 al 21/10/2026</t>
        </is>
      </c>
      <c r="E110" s="16" t="n">
        <v>4674</v>
      </c>
      <c r="F110" s="16" t="n">
        <v>500</v>
      </c>
      <c r="G110" s="28" t="n">
        <v>0.2295</v>
      </c>
      <c r="H110" s="16">
        <f>E110*(1+$C$95)</f>
        <v/>
      </c>
      <c r="I110" s="16">
        <f>F110*(1+$C$95)</f>
        <v/>
      </c>
    </row>
    <row r="111">
      <c r="B111" s="19" t="inlineStr">
        <is>
          <t>AP</t>
        </is>
      </c>
      <c r="C111" s="32" t="inlineStr">
        <is>
          <t>SS_AP_GL_Search_Brand_Cotizaciones_2022_Performance</t>
        </is>
      </c>
      <c r="D111" s="22" t="inlineStr">
        <is>
          <t>08/10 al 21/10/2026</t>
        </is>
      </c>
      <c r="E111" s="20" t="n">
        <v>56828</v>
      </c>
      <c r="F111" s="20" t="n">
        <v>462</v>
      </c>
      <c r="G111" s="39" t="n">
        <v>0.0568</v>
      </c>
      <c r="H111" s="20">
        <f>E111*(1+$C$95)</f>
        <v/>
      </c>
      <c r="I111" s="20">
        <f>F111*(1+$C$95)</f>
        <v/>
      </c>
    </row>
    <row r="112">
      <c r="B112" s="15" t="inlineStr">
        <is>
          <t>AP</t>
        </is>
      </c>
      <c r="C112" s="30" t="inlineStr">
        <is>
          <t>SS_AP_GL_Search_Not Brand_Cotizaciones_2022_Performance</t>
        </is>
      </c>
      <c r="D112" s="18" t="inlineStr">
        <is>
          <t>08/10 al 21/10/2026</t>
        </is>
      </c>
      <c r="E112" s="16" t="n">
        <v>291570</v>
      </c>
      <c r="F112" s="16" t="n">
        <v>2592</v>
      </c>
      <c r="G112" s="28" t="n">
        <v>0.2135</v>
      </c>
      <c r="H112" s="16">
        <f>E112*(1+$C$95)</f>
        <v/>
      </c>
      <c r="I112" s="16">
        <f>F112*(1+$C$95)</f>
        <v/>
      </c>
    </row>
    <row r="113">
      <c r="B113" s="19" t="inlineStr">
        <is>
          <t>AP</t>
        </is>
      </c>
      <c r="C113" s="32" t="inlineStr">
        <is>
          <t>SS_AP_GL_PMax_Conversiones_2024</t>
        </is>
      </c>
      <c r="D113" s="22" t="inlineStr">
        <is>
          <t>08/10 al 21/10/2026</t>
        </is>
      </c>
      <c r="E113" s="20" t="n">
        <v>14516</v>
      </c>
      <c r="F113" s="20" t="n">
        <v>122</v>
      </c>
      <c r="G113" s="39" t="n">
        <v>0.0277</v>
      </c>
      <c r="H113" s="20">
        <f>E113*(1+$C$95)</f>
        <v/>
      </c>
      <c r="I113" s="20">
        <f>F113*(1+$C$95)</f>
        <v/>
      </c>
    </row>
    <row r="114">
      <c r="B114" s="15" t="inlineStr">
        <is>
          <t>AP</t>
        </is>
      </c>
      <c r="C114" s="30" t="inlineStr">
        <is>
          <t>SS_AP_FB_Conversiones_2024</t>
        </is>
      </c>
      <c r="D114" s="18" t="inlineStr">
        <is>
          <t>08/10 al 21/10/2026</t>
        </is>
      </c>
      <c r="E114" s="16" t="n">
        <v>3175</v>
      </c>
      <c r="F114" s="16" t="n">
        <v>168</v>
      </c>
      <c r="G114" s="28" t="n">
        <v>0.0367</v>
      </c>
      <c r="H114" s="16">
        <f>E114*(1+$C$95)</f>
        <v/>
      </c>
      <c r="I114" s="16">
        <f>F114*(1+$C$95)</f>
        <v/>
      </c>
    </row>
    <row r="115">
      <c r="B115" s="19" t="inlineStr">
        <is>
          <t>Hogar</t>
        </is>
      </c>
      <c r="C115" s="32" t="inlineStr">
        <is>
          <t>SS_Hogar_GL_PMax_Conversiones_2023_Performance</t>
        </is>
      </c>
      <c r="D115" s="22" t="inlineStr">
        <is>
          <t>20/10 al 15/11/2025</t>
        </is>
      </c>
      <c r="E115" s="20">
        <f>11256*(1+$C$96)</f>
        <v/>
      </c>
      <c r="F115" s="20">
        <f>241*(1+$C$96)</f>
        <v/>
      </c>
      <c r="G115" s="39" t="n">
        <v>0.0043</v>
      </c>
      <c r="H115" s="20">
        <f>E115*(1+$C$95)</f>
        <v/>
      </c>
      <c r="I115" s="20">
        <f>F115*(1+$C$95)</f>
        <v/>
      </c>
    </row>
    <row r="116">
      <c r="B116" s="15" t="inlineStr">
        <is>
          <t>Hogar</t>
        </is>
      </c>
      <c r="C116" s="30" t="inlineStr">
        <is>
          <t>SS_Hogar_GL_Search_Not Brand_Cotizaciones_2022_Performance</t>
        </is>
      </c>
      <c r="D116" s="18" t="inlineStr">
        <is>
          <t>20/10 al 15/11/2025</t>
        </is>
      </c>
      <c r="E116" s="16">
        <f>218874*(1+$C$96)</f>
        <v/>
      </c>
      <c r="F116" s="16">
        <f>2126*(1+$C$96)</f>
        <v/>
      </c>
      <c r="G116" s="28" t="n">
        <v>0.3086</v>
      </c>
      <c r="H116" s="16">
        <f>E116*(1+$C$95)</f>
        <v/>
      </c>
      <c r="I116" s="16">
        <f>F116*(1+$C$95)</f>
        <v/>
      </c>
    </row>
    <row r="117">
      <c r="B117" s="19" t="inlineStr">
        <is>
          <t>Hogar</t>
        </is>
      </c>
      <c r="C117" s="32" t="inlineStr">
        <is>
          <t>SS_Hogar_GL_Search_Brand_Cotizaciones_2022_Performance</t>
        </is>
      </c>
      <c r="D117" s="22" t="inlineStr">
        <is>
          <t>20/10 al 15/11/2025</t>
        </is>
      </c>
      <c r="E117" s="20">
        <f>262817*(1+$C$96)</f>
        <v/>
      </c>
      <c r="F117" s="20">
        <f>744*(1+$C$96)</f>
        <v/>
      </c>
      <c r="G117" s="39" t="n">
        <v>0.0241</v>
      </c>
      <c r="H117" s="20">
        <f>E117*(1+$C$95)</f>
        <v/>
      </c>
      <c r="I117" s="20">
        <f>F117*(1+$C$95)</f>
        <v/>
      </c>
    </row>
    <row r="118">
      <c r="B118" s="15" t="inlineStr">
        <is>
          <t>SSM</t>
        </is>
      </c>
      <c r="C118" s="30" t="inlineStr">
        <is>
          <t>SS_AP_GL_Search_Not Brand_Cotizaciones_2022_Performance</t>
        </is>
      </c>
      <c r="D118" s="18" t="inlineStr">
        <is>
          <t>08/10 al 21/10/2026</t>
        </is>
      </c>
      <c r="E118" s="16" t="n">
        <v>291570</v>
      </c>
      <c r="F118" s="16" t="n">
        <v>2592</v>
      </c>
      <c r="G118" s="28" t="n">
        <v>0.2135</v>
      </c>
      <c r="H118" s="16">
        <f>E118*(1+$C$95)</f>
        <v/>
      </c>
      <c r="I118" s="16">
        <f>F118*(1+$C$95)</f>
        <v/>
      </c>
    </row>
    <row r="119">
      <c r="B119" s="19" t="inlineStr">
        <is>
          <t>Teaser de marca</t>
        </is>
      </c>
      <c r="C119" s="32" t="inlineStr">
        <is>
          <t>SS_Agro_GL_DemandGen_Trafico_Clics_2026</t>
        </is>
      </c>
      <c r="D119" s="22" t="inlineStr">
        <is>
          <t>08/10 al 21/10/2026</t>
        </is>
      </c>
      <c r="E119" s="20" t="n">
        <v>293</v>
      </c>
      <c r="F119" s="20" t="n">
        <v>10.6</v>
      </c>
      <c r="G119" s="22" t="inlineStr">
        <is>
          <t>–</t>
        </is>
      </c>
      <c r="H119" s="20">
        <f>E119*(1+$C$95)</f>
        <v/>
      </c>
      <c r="I119" s="20">
        <f>F119*(1+$C$95)</f>
        <v/>
      </c>
    </row>
    <row r="120">
      <c r="B120" s="15" t="inlineStr">
        <is>
          <t>Teaser de marca</t>
        </is>
      </c>
      <c r="C120" s="30" t="inlineStr">
        <is>
          <t>SS_FAL_FB_Trafico_2026</t>
        </is>
      </c>
      <c r="D120" s="18" t="inlineStr">
        <is>
          <t>08/10 al 21/10/2026</t>
        </is>
      </c>
      <c r="E120" s="16" t="n">
        <v>2808</v>
      </c>
      <c r="F120" s="16" t="n">
        <v>41.6</v>
      </c>
      <c r="G120" s="18" t="inlineStr">
        <is>
          <t>–</t>
        </is>
      </c>
      <c r="H120" s="16">
        <f>E120*(1+$C$95)</f>
        <v/>
      </c>
      <c r="I120" s="16">
        <f>F120*(1+$C$95)</f>
        <v/>
      </c>
    </row>
    <row r="121">
      <c r="B121" s="29" t="inlineStr">
        <is>
          <t>Fuente: datos reales de Google Ads y Meta Ads. CR: cotizaciones completas sobre clics.</t>
        </is>
      </c>
    </row>
    <row r="122">
      <c r="B122" s="29" t="inlineStr">
        <is>
          <t>Hogar: Cyber 2025 con CPM y CPC ajustados por inflación. SSM: benchmark de AP Search Not Brand. Teaser: Demand Gen y tráfico de Meta de octubre 2026.</t>
        </is>
      </c>
    </row>
  </sheetData>
  <mergeCells count="15">
    <mergeCell ref="D6:E6"/>
    <mergeCell ref="M7:N7"/>
    <mergeCell ref="D7:E7"/>
    <mergeCell ref="G7:H7"/>
    <mergeCell ref="J5:K5"/>
    <mergeCell ref="J6:K6"/>
    <mergeCell ref="M6:N6"/>
    <mergeCell ref="D5:E5"/>
    <mergeCell ref="B7"/>
    <mergeCell ref="B6"/>
    <mergeCell ref="G5:H5"/>
    <mergeCell ref="J7:K7"/>
    <mergeCell ref="M5:N5"/>
    <mergeCell ref="G6:H6"/>
    <mergeCell ref="B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9D7A2"/>
    <outlinePr summaryBelow="1" summaryRight="1"/>
    <pageSetUpPr/>
  </sheetPr>
  <dimension ref="B2:AA80"/>
  <sheetViews>
    <sheetView showGridLines="0" workbookViewId="0">
      <selection activeCell="A1" sqref="A1"/>
    </sheetView>
  </sheetViews>
  <sheetFormatPr baseColWidth="8" defaultRowHeight="15"/>
  <cols>
    <col width="2.6" customWidth="1" min="1" max="1"/>
    <col width="5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3" customWidth="1" min="26" max="26"/>
    <col width="16" customWidth="1" min="27" max="27"/>
    <col width="12" customWidth="1" min="28" max="28"/>
    <col width="12" customWidth="1" min="29" max="29"/>
  </cols>
  <sheetData>
    <row r="2">
      <c r="B2" s="1" t="inlineStr">
        <is>
          <t>zenda.</t>
        </is>
      </c>
    </row>
    <row r="3" ht="28" customHeight="1">
      <c r="B3" s="2" t="inlineStr">
        <is>
          <t>Inversión diaria  |  Cyber Monday 2026 Sancor Seguros</t>
        </is>
      </c>
    </row>
    <row r="4">
      <c r="B4" s="29" t="inlineStr">
        <is>
          <t>Inversión de cada etapa repartida en partes iguales entre sus días.</t>
        </is>
      </c>
    </row>
    <row r="6" ht="24" customHeight="1">
      <c r="B6" s="12" t="inlineStr">
        <is>
          <t>ESCENARIO CONSERVADOR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30" customHeight="1">
      <c r="B7" s="14" t="inlineStr">
        <is>
          <t>Campaña</t>
        </is>
      </c>
      <c r="C7" s="14" t="inlineStr">
        <is>
          <t>Inversión</t>
        </is>
      </c>
      <c r="D7" s="44">
        <f>MP!$C$88+0</f>
        <v/>
      </c>
      <c r="E7" s="44">
        <f>MP!$C$88+1</f>
        <v/>
      </c>
      <c r="F7" s="44">
        <f>MP!$C$88+2</f>
        <v/>
      </c>
      <c r="G7" s="44">
        <f>MP!$C$88+3</f>
        <v/>
      </c>
      <c r="H7" s="44">
        <f>MP!$C$88+4</f>
        <v/>
      </c>
      <c r="I7" s="44">
        <f>MP!$C$88+5</f>
        <v/>
      </c>
      <c r="J7" s="44">
        <f>MP!$C$88+6</f>
        <v/>
      </c>
      <c r="K7" s="44">
        <f>MP!$C$88+7</f>
        <v/>
      </c>
      <c r="L7" s="44">
        <f>MP!$C$88+8</f>
        <v/>
      </c>
      <c r="M7" s="44">
        <f>MP!$C$88+9</f>
        <v/>
      </c>
      <c r="N7" s="44">
        <f>MP!$C$88+10</f>
        <v/>
      </c>
      <c r="O7" s="14" t="inlineStr">
        <is>
          <t>Control</t>
        </is>
      </c>
    </row>
    <row r="8">
      <c r="B8" s="15">
        <f>MP!C34</f>
        <v/>
      </c>
      <c r="C8" s="16">
        <f>MP!I34</f>
        <v/>
      </c>
      <c r="D8" s="16">
        <f>MP!F34/MP!$E$88</f>
        <v/>
      </c>
      <c r="E8" s="16">
        <f>MP!F34/MP!$E$88</f>
        <v/>
      </c>
      <c r="F8" s="16">
        <f>MP!F34/MP!$E$88</f>
        <v/>
      </c>
      <c r="G8" s="16">
        <f>MP!F34/MP!$E$88</f>
        <v/>
      </c>
      <c r="H8" s="16">
        <f>MP!G34/MP!$E$89</f>
        <v/>
      </c>
      <c r="I8" s="16">
        <f>MP!G34/MP!$E$89</f>
        <v/>
      </c>
      <c r="J8" s="16">
        <f>MP!G34/MP!$E$89</f>
        <v/>
      </c>
      <c r="K8" s="16">
        <f>MP!H34/MP!$E$90</f>
        <v/>
      </c>
      <c r="L8" s="16">
        <f>MP!H34/MP!$E$90</f>
        <v/>
      </c>
      <c r="M8" s="16">
        <f>MP!H34/MP!$E$90</f>
        <v/>
      </c>
      <c r="N8" s="16">
        <f>MP!H34/MP!$E$90</f>
        <v/>
      </c>
      <c r="O8" s="16">
        <f>SUM(D8:N8)-C8</f>
        <v/>
      </c>
    </row>
    <row r="9">
      <c r="B9" s="19">
        <f>MP!C35</f>
        <v/>
      </c>
      <c r="C9" s="20">
        <f>MP!I35</f>
        <v/>
      </c>
      <c r="D9" s="20">
        <f>MP!F35/MP!$E$88</f>
        <v/>
      </c>
      <c r="E9" s="20">
        <f>MP!F35/MP!$E$88</f>
        <v/>
      </c>
      <c r="F9" s="20">
        <f>MP!F35/MP!$E$88</f>
        <v/>
      </c>
      <c r="G9" s="20">
        <f>MP!F35/MP!$E$88</f>
        <v/>
      </c>
      <c r="H9" s="20">
        <f>MP!G35/MP!$E$89</f>
        <v/>
      </c>
      <c r="I9" s="20">
        <f>MP!G35/MP!$E$89</f>
        <v/>
      </c>
      <c r="J9" s="20">
        <f>MP!G35/MP!$E$89</f>
        <v/>
      </c>
      <c r="K9" s="20">
        <f>MP!H35/MP!$E$90</f>
        <v/>
      </c>
      <c r="L9" s="20">
        <f>MP!H35/MP!$E$90</f>
        <v/>
      </c>
      <c r="M9" s="20">
        <f>MP!H35/MP!$E$90</f>
        <v/>
      </c>
      <c r="N9" s="20">
        <f>MP!H35/MP!$E$90</f>
        <v/>
      </c>
      <c r="O9" s="20">
        <f>SUM(D9:N9)-C9</f>
        <v/>
      </c>
    </row>
    <row r="10">
      <c r="B10" s="15">
        <f>MP!C36</f>
        <v/>
      </c>
      <c r="C10" s="16">
        <f>MP!I36</f>
        <v/>
      </c>
      <c r="D10" s="16">
        <f>MP!F36/MP!$E$88</f>
        <v/>
      </c>
      <c r="E10" s="16">
        <f>MP!F36/MP!$E$88</f>
        <v/>
      </c>
      <c r="F10" s="16">
        <f>MP!F36/MP!$E$88</f>
        <v/>
      </c>
      <c r="G10" s="16">
        <f>MP!F36/MP!$E$88</f>
        <v/>
      </c>
      <c r="H10" s="16">
        <f>MP!G36/MP!$E$89</f>
        <v/>
      </c>
      <c r="I10" s="16">
        <f>MP!G36/MP!$E$89</f>
        <v/>
      </c>
      <c r="J10" s="16">
        <f>MP!G36/MP!$E$89</f>
        <v/>
      </c>
      <c r="K10" s="16">
        <f>MP!H36/MP!$E$90</f>
        <v/>
      </c>
      <c r="L10" s="16">
        <f>MP!H36/MP!$E$90</f>
        <v/>
      </c>
      <c r="M10" s="16">
        <f>MP!H36/MP!$E$90</f>
        <v/>
      </c>
      <c r="N10" s="16">
        <f>MP!H36/MP!$E$90</f>
        <v/>
      </c>
      <c r="O10" s="16">
        <f>SUM(D10:N10)-C10</f>
        <v/>
      </c>
    </row>
    <row r="11">
      <c r="B11" s="19">
        <f>MP!C37</f>
        <v/>
      </c>
      <c r="C11" s="20">
        <f>MP!I37</f>
        <v/>
      </c>
      <c r="D11" s="20">
        <f>MP!F37/MP!$E$88</f>
        <v/>
      </c>
      <c r="E11" s="20">
        <f>MP!F37/MP!$E$88</f>
        <v/>
      </c>
      <c r="F11" s="20">
        <f>MP!F37/MP!$E$88</f>
        <v/>
      </c>
      <c r="G11" s="20">
        <f>MP!F37/MP!$E$88</f>
        <v/>
      </c>
      <c r="H11" s="20">
        <f>MP!G37/MP!$E$89</f>
        <v/>
      </c>
      <c r="I11" s="20">
        <f>MP!G37/MP!$E$89</f>
        <v/>
      </c>
      <c r="J11" s="20">
        <f>MP!G37/MP!$E$89</f>
        <v/>
      </c>
      <c r="K11" s="20">
        <f>MP!H37/MP!$E$90</f>
        <v/>
      </c>
      <c r="L11" s="20">
        <f>MP!H37/MP!$E$90</f>
        <v/>
      </c>
      <c r="M11" s="20">
        <f>MP!H37/MP!$E$90</f>
        <v/>
      </c>
      <c r="N11" s="20">
        <f>MP!H37/MP!$E$90</f>
        <v/>
      </c>
      <c r="O11" s="20">
        <f>SUM(D11:N11)-C11</f>
        <v/>
      </c>
    </row>
    <row r="12">
      <c r="B12" s="15">
        <f>MP!C38</f>
        <v/>
      </c>
      <c r="C12" s="16">
        <f>MP!I38</f>
        <v/>
      </c>
      <c r="D12" s="16">
        <f>MP!F38/MP!$E$88</f>
        <v/>
      </c>
      <c r="E12" s="16">
        <f>MP!F38/MP!$E$88</f>
        <v/>
      </c>
      <c r="F12" s="16">
        <f>MP!F38/MP!$E$88</f>
        <v/>
      </c>
      <c r="G12" s="16">
        <f>MP!F38/MP!$E$88</f>
        <v/>
      </c>
      <c r="H12" s="16">
        <f>MP!G38/MP!$E$89</f>
        <v/>
      </c>
      <c r="I12" s="16">
        <f>MP!G38/MP!$E$89</f>
        <v/>
      </c>
      <c r="J12" s="16">
        <f>MP!G38/MP!$E$89</f>
        <v/>
      </c>
      <c r="K12" s="16">
        <f>MP!H38/MP!$E$90</f>
        <v/>
      </c>
      <c r="L12" s="16">
        <f>MP!H38/MP!$E$90</f>
        <v/>
      </c>
      <c r="M12" s="16">
        <f>MP!H38/MP!$E$90</f>
        <v/>
      </c>
      <c r="N12" s="16">
        <f>MP!H38/MP!$E$90</f>
        <v/>
      </c>
      <c r="O12" s="16">
        <f>SUM(D12:N12)-C12</f>
        <v/>
      </c>
    </row>
    <row r="13">
      <c r="B13" s="19">
        <f>MP!C39</f>
        <v/>
      </c>
      <c r="C13" s="20">
        <f>MP!I39</f>
        <v/>
      </c>
      <c r="D13" s="20">
        <f>MP!F39/MP!$E$88</f>
        <v/>
      </c>
      <c r="E13" s="20">
        <f>MP!F39/MP!$E$88</f>
        <v/>
      </c>
      <c r="F13" s="20">
        <f>MP!F39/MP!$E$88</f>
        <v/>
      </c>
      <c r="G13" s="20">
        <f>MP!F39/MP!$E$88</f>
        <v/>
      </c>
      <c r="H13" s="20">
        <f>MP!G39/MP!$E$89</f>
        <v/>
      </c>
      <c r="I13" s="20">
        <f>MP!G39/MP!$E$89</f>
        <v/>
      </c>
      <c r="J13" s="20">
        <f>MP!G39/MP!$E$89</f>
        <v/>
      </c>
      <c r="K13" s="20">
        <f>MP!H39/MP!$E$90</f>
        <v/>
      </c>
      <c r="L13" s="20">
        <f>MP!H39/MP!$E$90</f>
        <v/>
      </c>
      <c r="M13" s="20">
        <f>MP!H39/MP!$E$90</f>
        <v/>
      </c>
      <c r="N13" s="20">
        <f>MP!H39/MP!$E$90</f>
        <v/>
      </c>
      <c r="O13" s="20">
        <f>SUM(D13:N13)-C13</f>
        <v/>
      </c>
    </row>
    <row r="14">
      <c r="B14" s="15">
        <f>MP!C40</f>
        <v/>
      </c>
      <c r="C14" s="16">
        <f>MP!I40</f>
        <v/>
      </c>
      <c r="D14" s="16">
        <f>MP!F40/MP!$E$88</f>
        <v/>
      </c>
      <c r="E14" s="16">
        <f>MP!F40/MP!$E$88</f>
        <v/>
      </c>
      <c r="F14" s="16">
        <f>MP!F40/MP!$E$88</f>
        <v/>
      </c>
      <c r="G14" s="16">
        <f>MP!F40/MP!$E$88</f>
        <v/>
      </c>
      <c r="H14" s="16">
        <f>MP!G40/MP!$E$89</f>
        <v/>
      </c>
      <c r="I14" s="16">
        <f>MP!G40/MP!$E$89</f>
        <v/>
      </c>
      <c r="J14" s="16">
        <f>MP!G40/MP!$E$89</f>
        <v/>
      </c>
      <c r="K14" s="16">
        <f>MP!H40/MP!$E$90</f>
        <v/>
      </c>
      <c r="L14" s="16">
        <f>MP!H40/MP!$E$90</f>
        <v/>
      </c>
      <c r="M14" s="16">
        <f>MP!H40/MP!$E$90</f>
        <v/>
      </c>
      <c r="N14" s="16">
        <f>MP!H40/MP!$E$90</f>
        <v/>
      </c>
      <c r="O14" s="16">
        <f>SUM(D14:N14)-C14</f>
        <v/>
      </c>
    </row>
    <row r="15">
      <c r="B15" s="19">
        <f>MP!C41</f>
        <v/>
      </c>
      <c r="C15" s="20">
        <f>MP!I41</f>
        <v/>
      </c>
      <c r="D15" s="20">
        <f>MP!F41/MP!$E$88</f>
        <v/>
      </c>
      <c r="E15" s="20">
        <f>MP!F41/MP!$E$88</f>
        <v/>
      </c>
      <c r="F15" s="20">
        <f>MP!F41/MP!$E$88</f>
        <v/>
      </c>
      <c r="G15" s="20">
        <f>MP!F41/MP!$E$88</f>
        <v/>
      </c>
      <c r="H15" s="20">
        <f>MP!G41/MP!$E$89</f>
        <v/>
      </c>
      <c r="I15" s="20">
        <f>MP!G41/MP!$E$89</f>
        <v/>
      </c>
      <c r="J15" s="20">
        <f>MP!G41/MP!$E$89</f>
        <v/>
      </c>
      <c r="K15" s="20">
        <f>MP!H41/MP!$E$90</f>
        <v/>
      </c>
      <c r="L15" s="20">
        <f>MP!H41/MP!$E$90</f>
        <v/>
      </c>
      <c r="M15" s="20">
        <f>MP!H41/MP!$E$90</f>
        <v/>
      </c>
      <c r="N15" s="20">
        <f>MP!H41/MP!$E$90</f>
        <v/>
      </c>
      <c r="O15" s="20">
        <f>SUM(D15:N15)-C15</f>
        <v/>
      </c>
    </row>
    <row r="16">
      <c r="B16" s="15">
        <f>MP!C42</f>
        <v/>
      </c>
      <c r="C16" s="16">
        <f>MP!I42</f>
        <v/>
      </c>
      <c r="D16" s="16">
        <f>MP!F42/MP!$E$88</f>
        <v/>
      </c>
      <c r="E16" s="16">
        <f>MP!F42/MP!$E$88</f>
        <v/>
      </c>
      <c r="F16" s="16">
        <f>MP!F42/MP!$E$88</f>
        <v/>
      </c>
      <c r="G16" s="16">
        <f>MP!F42/MP!$E$88</f>
        <v/>
      </c>
      <c r="H16" s="16">
        <f>MP!G42/MP!$E$89</f>
        <v/>
      </c>
      <c r="I16" s="16">
        <f>MP!G42/MP!$E$89</f>
        <v/>
      </c>
      <c r="J16" s="16">
        <f>MP!G42/MP!$E$89</f>
        <v/>
      </c>
      <c r="K16" s="16">
        <f>MP!H42/MP!$E$90</f>
        <v/>
      </c>
      <c r="L16" s="16">
        <f>MP!H42/MP!$E$90</f>
        <v/>
      </c>
      <c r="M16" s="16">
        <f>MP!H42/MP!$E$90</f>
        <v/>
      </c>
      <c r="N16" s="16">
        <f>MP!H42/MP!$E$90</f>
        <v/>
      </c>
      <c r="O16" s="16">
        <f>SUM(D16:N16)-C16</f>
        <v/>
      </c>
    </row>
    <row r="17">
      <c r="B17" s="19">
        <f>MP!C43</f>
        <v/>
      </c>
      <c r="C17" s="20">
        <f>MP!I43</f>
        <v/>
      </c>
      <c r="D17" s="20">
        <f>MP!F43/MP!$E$88</f>
        <v/>
      </c>
      <c r="E17" s="20">
        <f>MP!F43/MP!$E$88</f>
        <v/>
      </c>
      <c r="F17" s="20">
        <f>MP!F43/MP!$E$88</f>
        <v/>
      </c>
      <c r="G17" s="20">
        <f>MP!F43/MP!$E$88</f>
        <v/>
      </c>
      <c r="H17" s="20">
        <f>MP!G43/MP!$E$89</f>
        <v/>
      </c>
      <c r="I17" s="20">
        <f>MP!G43/MP!$E$89</f>
        <v/>
      </c>
      <c r="J17" s="20">
        <f>MP!G43/MP!$E$89</f>
        <v/>
      </c>
      <c r="K17" s="20">
        <f>MP!H43/MP!$E$90</f>
        <v/>
      </c>
      <c r="L17" s="20">
        <f>MP!H43/MP!$E$90</f>
        <v/>
      </c>
      <c r="M17" s="20">
        <f>MP!H43/MP!$E$90</f>
        <v/>
      </c>
      <c r="N17" s="20">
        <f>MP!H43/MP!$E$90</f>
        <v/>
      </c>
      <c r="O17" s="20">
        <f>SUM(D17:N17)-C17</f>
        <v/>
      </c>
    </row>
    <row r="18">
      <c r="B18" s="15">
        <f>MP!C44</f>
        <v/>
      </c>
      <c r="C18" s="16">
        <f>MP!I44</f>
        <v/>
      </c>
      <c r="D18" s="16">
        <f>MP!F44/MP!$E$88</f>
        <v/>
      </c>
      <c r="E18" s="16">
        <f>MP!F44/MP!$E$88</f>
        <v/>
      </c>
      <c r="F18" s="16">
        <f>MP!F44/MP!$E$88</f>
        <v/>
      </c>
      <c r="G18" s="16">
        <f>MP!F44/MP!$E$88</f>
        <v/>
      </c>
      <c r="H18" s="16">
        <f>MP!G44/MP!$E$89</f>
        <v/>
      </c>
      <c r="I18" s="16">
        <f>MP!G44/MP!$E$89</f>
        <v/>
      </c>
      <c r="J18" s="16">
        <f>MP!G44/MP!$E$89</f>
        <v/>
      </c>
      <c r="K18" s="16">
        <f>MP!H44/MP!$E$90</f>
        <v/>
      </c>
      <c r="L18" s="16">
        <f>MP!H44/MP!$E$90</f>
        <v/>
      </c>
      <c r="M18" s="16">
        <f>MP!H44/MP!$E$90</f>
        <v/>
      </c>
      <c r="N18" s="16">
        <f>MP!H44/MP!$E$90</f>
        <v/>
      </c>
      <c r="O18" s="16">
        <f>SUM(D18:N18)-C18</f>
        <v/>
      </c>
    </row>
    <row r="19">
      <c r="B19" s="19">
        <f>MP!C45</f>
        <v/>
      </c>
      <c r="C19" s="20">
        <f>MP!I45</f>
        <v/>
      </c>
      <c r="D19" s="20">
        <f>MP!F45/MP!$E$88</f>
        <v/>
      </c>
      <c r="E19" s="20">
        <f>MP!F45/MP!$E$88</f>
        <v/>
      </c>
      <c r="F19" s="20">
        <f>MP!F45/MP!$E$88</f>
        <v/>
      </c>
      <c r="G19" s="20">
        <f>MP!F45/MP!$E$88</f>
        <v/>
      </c>
      <c r="H19" s="20">
        <f>MP!G45/MP!$E$89</f>
        <v/>
      </c>
      <c r="I19" s="20">
        <f>MP!G45/MP!$E$89</f>
        <v/>
      </c>
      <c r="J19" s="20">
        <f>MP!G45/MP!$E$89</f>
        <v/>
      </c>
      <c r="K19" s="20">
        <f>MP!H45/MP!$E$90</f>
        <v/>
      </c>
      <c r="L19" s="20">
        <f>MP!H45/MP!$E$90</f>
        <v/>
      </c>
      <c r="M19" s="20">
        <f>MP!H45/MP!$E$90</f>
        <v/>
      </c>
      <c r="N19" s="20">
        <f>MP!H45/MP!$E$90</f>
        <v/>
      </c>
      <c r="O19" s="20">
        <f>SUM(D19:N19)-C19</f>
        <v/>
      </c>
    </row>
    <row r="20">
      <c r="B20" s="15">
        <f>MP!C46</f>
        <v/>
      </c>
      <c r="C20" s="16">
        <f>MP!I46</f>
        <v/>
      </c>
      <c r="D20" s="16">
        <f>MP!F46/MP!$E$88</f>
        <v/>
      </c>
      <c r="E20" s="16">
        <f>MP!F46/MP!$E$88</f>
        <v/>
      </c>
      <c r="F20" s="16">
        <f>MP!F46/MP!$E$88</f>
        <v/>
      </c>
      <c r="G20" s="16">
        <f>MP!F46/MP!$E$88</f>
        <v/>
      </c>
      <c r="H20" s="16">
        <f>MP!G46/MP!$E$89</f>
        <v/>
      </c>
      <c r="I20" s="16">
        <f>MP!G46/MP!$E$89</f>
        <v/>
      </c>
      <c r="J20" s="16">
        <f>MP!G46/MP!$E$89</f>
        <v/>
      </c>
      <c r="K20" s="16">
        <f>MP!H46/MP!$E$90</f>
        <v/>
      </c>
      <c r="L20" s="16">
        <f>MP!H46/MP!$E$90</f>
        <v/>
      </c>
      <c r="M20" s="16">
        <f>MP!H46/MP!$E$90</f>
        <v/>
      </c>
      <c r="N20" s="16">
        <f>MP!H46/MP!$E$90</f>
        <v/>
      </c>
      <c r="O20" s="16">
        <f>SUM(D20:N20)-C20</f>
        <v/>
      </c>
    </row>
    <row r="21">
      <c r="B21" s="19">
        <f>MP!C47</f>
        <v/>
      </c>
      <c r="C21" s="20">
        <f>MP!I47</f>
        <v/>
      </c>
      <c r="D21" s="20">
        <f>MP!F47/MP!$E$88</f>
        <v/>
      </c>
      <c r="E21" s="20">
        <f>MP!F47/MP!$E$88</f>
        <v/>
      </c>
      <c r="F21" s="20">
        <f>MP!F47/MP!$E$88</f>
        <v/>
      </c>
      <c r="G21" s="20">
        <f>MP!F47/MP!$E$88</f>
        <v/>
      </c>
      <c r="H21" s="20">
        <f>MP!G47/MP!$E$89</f>
        <v/>
      </c>
      <c r="I21" s="20">
        <f>MP!G47/MP!$E$89</f>
        <v/>
      </c>
      <c r="J21" s="20">
        <f>MP!G47/MP!$E$89</f>
        <v/>
      </c>
      <c r="K21" s="20">
        <f>MP!H47/MP!$E$90</f>
        <v/>
      </c>
      <c r="L21" s="20">
        <f>MP!H47/MP!$E$90</f>
        <v/>
      </c>
      <c r="M21" s="20">
        <f>MP!H47/MP!$E$90</f>
        <v/>
      </c>
      <c r="N21" s="20">
        <f>MP!H47/MP!$E$90</f>
        <v/>
      </c>
      <c r="O21" s="20">
        <f>SUM(D21:N21)-C21</f>
        <v/>
      </c>
    </row>
    <row r="22">
      <c r="B22" s="15">
        <f>MP!C48</f>
        <v/>
      </c>
      <c r="C22" s="16">
        <f>MP!I48</f>
        <v/>
      </c>
      <c r="D22" s="16">
        <f>MP!F48/MP!$E$88</f>
        <v/>
      </c>
      <c r="E22" s="16">
        <f>MP!F48/MP!$E$88</f>
        <v/>
      </c>
      <c r="F22" s="16">
        <f>MP!F48/MP!$E$88</f>
        <v/>
      </c>
      <c r="G22" s="16">
        <f>MP!F48/MP!$E$88</f>
        <v/>
      </c>
      <c r="H22" s="16">
        <f>MP!G48/MP!$E$89</f>
        <v/>
      </c>
      <c r="I22" s="16">
        <f>MP!G48/MP!$E$89</f>
        <v/>
      </c>
      <c r="J22" s="16">
        <f>MP!G48/MP!$E$89</f>
        <v/>
      </c>
      <c r="K22" s="16">
        <f>MP!H48/MP!$E$90</f>
        <v/>
      </c>
      <c r="L22" s="16">
        <f>MP!H48/MP!$E$90</f>
        <v/>
      </c>
      <c r="M22" s="16">
        <f>MP!H48/MP!$E$90</f>
        <v/>
      </c>
      <c r="N22" s="16">
        <f>MP!H48/MP!$E$90</f>
        <v/>
      </c>
      <c r="O22" s="16">
        <f>SUM(D22:N22)-C22</f>
        <v/>
      </c>
    </row>
    <row r="23">
      <c r="B23" s="19">
        <f>MP!C49</f>
        <v/>
      </c>
      <c r="C23" s="20">
        <f>MP!I49</f>
        <v/>
      </c>
      <c r="D23" s="20">
        <f>MP!F49/MP!$E$88</f>
        <v/>
      </c>
      <c r="E23" s="20">
        <f>MP!F49/MP!$E$88</f>
        <v/>
      </c>
      <c r="F23" s="20">
        <f>MP!F49/MP!$E$88</f>
        <v/>
      </c>
      <c r="G23" s="20">
        <f>MP!F49/MP!$E$88</f>
        <v/>
      </c>
      <c r="H23" s="20">
        <f>MP!G49/MP!$E$89</f>
        <v/>
      </c>
      <c r="I23" s="20">
        <f>MP!G49/MP!$E$89</f>
        <v/>
      </c>
      <c r="J23" s="20">
        <f>MP!G49/MP!$E$89</f>
        <v/>
      </c>
      <c r="K23" s="20">
        <f>MP!H49/MP!$E$90</f>
        <v/>
      </c>
      <c r="L23" s="20">
        <f>MP!H49/MP!$E$90</f>
        <v/>
      </c>
      <c r="M23" s="20">
        <f>MP!H49/MP!$E$90</f>
        <v/>
      </c>
      <c r="N23" s="20">
        <f>MP!H49/MP!$E$90</f>
        <v/>
      </c>
      <c r="O23" s="20">
        <f>SUM(D23:N23)-C23</f>
        <v/>
      </c>
    </row>
    <row r="24">
      <c r="B24" s="15">
        <f>MP!C50</f>
        <v/>
      </c>
      <c r="C24" s="16">
        <f>MP!I50</f>
        <v/>
      </c>
      <c r="D24" s="16">
        <f>MP!F50/MP!$E$88</f>
        <v/>
      </c>
      <c r="E24" s="16">
        <f>MP!F50/MP!$E$88</f>
        <v/>
      </c>
      <c r="F24" s="16">
        <f>MP!F50/MP!$E$88</f>
        <v/>
      </c>
      <c r="G24" s="16">
        <f>MP!F50/MP!$E$88</f>
        <v/>
      </c>
      <c r="H24" s="16">
        <f>MP!G50/MP!$E$89</f>
        <v/>
      </c>
      <c r="I24" s="16">
        <f>MP!G50/MP!$E$89</f>
        <v/>
      </c>
      <c r="J24" s="16">
        <f>MP!G50/MP!$E$89</f>
        <v/>
      </c>
      <c r="K24" s="16">
        <f>MP!H50/MP!$E$90</f>
        <v/>
      </c>
      <c r="L24" s="16">
        <f>MP!H50/MP!$E$90</f>
        <v/>
      </c>
      <c r="M24" s="16">
        <f>MP!H50/MP!$E$90</f>
        <v/>
      </c>
      <c r="N24" s="16">
        <f>MP!H50/MP!$E$90</f>
        <v/>
      </c>
      <c r="O24" s="16">
        <f>SUM(D24:N24)-C24</f>
        <v/>
      </c>
    </row>
    <row r="25">
      <c r="B25" s="19">
        <f>MP!C51</f>
        <v/>
      </c>
      <c r="C25" s="20">
        <f>MP!I51</f>
        <v/>
      </c>
      <c r="D25" s="20">
        <f>MP!F51/MP!$E$88</f>
        <v/>
      </c>
      <c r="E25" s="20">
        <f>MP!F51/MP!$E$88</f>
        <v/>
      </c>
      <c r="F25" s="20">
        <f>MP!F51/MP!$E$88</f>
        <v/>
      </c>
      <c r="G25" s="20">
        <f>MP!F51/MP!$E$88</f>
        <v/>
      </c>
      <c r="H25" s="20">
        <f>MP!G51/MP!$E$89</f>
        <v/>
      </c>
      <c r="I25" s="20">
        <f>MP!G51/MP!$E$89</f>
        <v/>
      </c>
      <c r="J25" s="20">
        <f>MP!G51/MP!$E$89</f>
        <v/>
      </c>
      <c r="K25" s="20">
        <f>MP!H51/MP!$E$90</f>
        <v/>
      </c>
      <c r="L25" s="20">
        <f>MP!H51/MP!$E$90</f>
        <v/>
      </c>
      <c r="M25" s="20">
        <f>MP!H51/MP!$E$90</f>
        <v/>
      </c>
      <c r="N25" s="20">
        <f>MP!H51/MP!$E$90</f>
        <v/>
      </c>
      <c r="O25" s="20">
        <f>SUM(D25:N25)-C25</f>
        <v/>
      </c>
    </row>
    <row r="26">
      <c r="B26" s="15">
        <f>MP!C52</f>
        <v/>
      </c>
      <c r="C26" s="16">
        <f>MP!I52</f>
        <v/>
      </c>
      <c r="D26" s="16">
        <f>MP!F52/MP!$E$88</f>
        <v/>
      </c>
      <c r="E26" s="16">
        <f>MP!F52/MP!$E$88</f>
        <v/>
      </c>
      <c r="F26" s="16">
        <f>MP!F52/MP!$E$88</f>
        <v/>
      </c>
      <c r="G26" s="16">
        <f>MP!F52/MP!$E$88</f>
        <v/>
      </c>
      <c r="H26" s="16">
        <f>MP!G52/MP!$E$89</f>
        <v/>
      </c>
      <c r="I26" s="16">
        <f>MP!G52/MP!$E$89</f>
        <v/>
      </c>
      <c r="J26" s="16">
        <f>MP!G52/MP!$E$89</f>
        <v/>
      </c>
      <c r="K26" s="16">
        <f>MP!H52/MP!$E$90</f>
        <v/>
      </c>
      <c r="L26" s="16">
        <f>MP!H52/MP!$E$90</f>
        <v/>
      </c>
      <c r="M26" s="16">
        <f>MP!H52/MP!$E$90</f>
        <v/>
      </c>
      <c r="N26" s="16">
        <f>MP!H52/MP!$E$90</f>
        <v/>
      </c>
      <c r="O26" s="16">
        <f>SUM(D26:N26)-C26</f>
        <v/>
      </c>
    </row>
    <row r="27">
      <c r="B27" s="19">
        <f>MP!C53</f>
        <v/>
      </c>
      <c r="C27" s="20">
        <f>MP!I53</f>
        <v/>
      </c>
      <c r="D27" s="20">
        <f>MP!F53/MP!$E$88</f>
        <v/>
      </c>
      <c r="E27" s="20">
        <f>MP!F53/MP!$E$88</f>
        <v/>
      </c>
      <c r="F27" s="20">
        <f>MP!F53/MP!$E$88</f>
        <v/>
      </c>
      <c r="G27" s="20">
        <f>MP!F53/MP!$E$88</f>
        <v/>
      </c>
      <c r="H27" s="20">
        <f>MP!G53/MP!$E$89</f>
        <v/>
      </c>
      <c r="I27" s="20">
        <f>MP!G53/MP!$E$89</f>
        <v/>
      </c>
      <c r="J27" s="20">
        <f>MP!G53/MP!$E$89</f>
        <v/>
      </c>
      <c r="K27" s="20">
        <f>MP!H53/MP!$E$90</f>
        <v/>
      </c>
      <c r="L27" s="20">
        <f>MP!H53/MP!$E$90</f>
        <v/>
      </c>
      <c r="M27" s="20">
        <f>MP!H53/MP!$E$90</f>
        <v/>
      </c>
      <c r="N27" s="20">
        <f>MP!H53/MP!$E$90</f>
        <v/>
      </c>
      <c r="O27" s="20">
        <f>SUM(D27:N27)-C27</f>
        <v/>
      </c>
    </row>
    <row r="28">
      <c r="B28" s="15">
        <f>MP!C54</f>
        <v/>
      </c>
      <c r="C28" s="16">
        <f>MP!I54</f>
        <v/>
      </c>
      <c r="D28" s="16">
        <f>MP!F54/MP!$E$88</f>
        <v/>
      </c>
      <c r="E28" s="16">
        <f>MP!F54/MP!$E$88</f>
        <v/>
      </c>
      <c r="F28" s="16">
        <f>MP!F54/MP!$E$88</f>
        <v/>
      </c>
      <c r="G28" s="16">
        <f>MP!F54/MP!$E$88</f>
        <v/>
      </c>
      <c r="H28" s="16">
        <f>MP!G54/MP!$E$89</f>
        <v/>
      </c>
      <c r="I28" s="16">
        <f>MP!G54/MP!$E$89</f>
        <v/>
      </c>
      <c r="J28" s="16">
        <f>MP!G54/MP!$E$89</f>
        <v/>
      </c>
      <c r="K28" s="16">
        <f>MP!H54/MP!$E$90</f>
        <v/>
      </c>
      <c r="L28" s="16">
        <f>MP!H54/MP!$E$90</f>
        <v/>
      </c>
      <c r="M28" s="16">
        <f>MP!H54/MP!$E$90</f>
        <v/>
      </c>
      <c r="N28" s="16">
        <f>MP!H54/MP!$E$90</f>
        <v/>
      </c>
      <c r="O28" s="16">
        <f>SUM(D28:N28)-C28</f>
        <v/>
      </c>
    </row>
    <row r="29" ht="20" customHeight="1">
      <c r="B29" s="25" t="inlineStr">
        <is>
          <t>Total</t>
        </is>
      </c>
      <c r="C29" s="27">
        <f>SUM(C8:C28)</f>
        <v/>
      </c>
      <c r="D29" s="27">
        <f>SUM(D8:D28)</f>
        <v/>
      </c>
      <c r="E29" s="27">
        <f>SUM(E8:E28)</f>
        <v/>
      </c>
      <c r="F29" s="27">
        <f>SUM(F8:F28)</f>
        <v/>
      </c>
      <c r="G29" s="27">
        <f>SUM(G8:G28)</f>
        <v/>
      </c>
      <c r="H29" s="27">
        <f>SUM(H8:H28)</f>
        <v/>
      </c>
      <c r="I29" s="27">
        <f>SUM(I8:I28)</f>
        <v/>
      </c>
      <c r="J29" s="27">
        <f>SUM(J8:J28)</f>
        <v/>
      </c>
      <c r="K29" s="27">
        <f>SUM(K8:K28)</f>
        <v/>
      </c>
      <c r="L29" s="27">
        <f>SUM(L8:L28)</f>
        <v/>
      </c>
      <c r="M29" s="27">
        <f>SUM(M8:M28)</f>
        <v/>
      </c>
      <c r="N29" s="27">
        <f>SUM(N8:N28)</f>
        <v/>
      </c>
      <c r="O29" s="27">
        <f>SUM(O8:O28)</f>
        <v/>
      </c>
    </row>
    <row r="31" ht="24" customHeight="1">
      <c r="B31" s="12" t="inlineStr">
        <is>
          <t>ESCENARIO AGRESIVO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</row>
    <row r="32" ht="30" customHeight="1">
      <c r="B32" s="14" t="inlineStr">
        <is>
          <t>Campaña</t>
        </is>
      </c>
      <c r="C32" s="14" t="inlineStr">
        <is>
          <t>Inversión</t>
        </is>
      </c>
      <c r="D32" s="44">
        <f>MP!$C$88+0</f>
        <v/>
      </c>
      <c r="E32" s="44">
        <f>MP!$C$88+1</f>
        <v/>
      </c>
      <c r="F32" s="44">
        <f>MP!$C$88+2</f>
        <v/>
      </c>
      <c r="G32" s="44">
        <f>MP!$C$88+3</f>
        <v/>
      </c>
      <c r="H32" s="44">
        <f>MP!$C$88+4</f>
        <v/>
      </c>
      <c r="I32" s="44">
        <f>MP!$C$88+5</f>
        <v/>
      </c>
      <c r="J32" s="44">
        <f>MP!$C$88+6</f>
        <v/>
      </c>
      <c r="K32" s="44">
        <f>MP!$C$88+7</f>
        <v/>
      </c>
      <c r="L32" s="44">
        <f>MP!$C$88+8</f>
        <v/>
      </c>
      <c r="M32" s="44">
        <f>MP!$C$88+9</f>
        <v/>
      </c>
      <c r="N32" s="44">
        <f>MP!$C$88+10</f>
        <v/>
      </c>
      <c r="O32" s="14" t="inlineStr">
        <is>
          <t>Control</t>
        </is>
      </c>
    </row>
    <row r="33">
      <c r="B33" s="15">
        <f>MP!C60</f>
        <v/>
      </c>
      <c r="C33" s="16">
        <f>MP!I60</f>
        <v/>
      </c>
      <c r="D33" s="16">
        <f>MP!F60/MP!$E$88</f>
        <v/>
      </c>
      <c r="E33" s="16">
        <f>MP!F60/MP!$E$88</f>
        <v/>
      </c>
      <c r="F33" s="16">
        <f>MP!F60/MP!$E$88</f>
        <v/>
      </c>
      <c r="G33" s="16">
        <f>MP!F60/MP!$E$88</f>
        <v/>
      </c>
      <c r="H33" s="16">
        <f>MP!G60/MP!$E$89</f>
        <v/>
      </c>
      <c r="I33" s="16">
        <f>MP!G60/MP!$E$89</f>
        <v/>
      </c>
      <c r="J33" s="16">
        <f>MP!G60/MP!$E$89</f>
        <v/>
      </c>
      <c r="K33" s="16">
        <f>MP!H60/MP!$E$90</f>
        <v/>
      </c>
      <c r="L33" s="16">
        <f>MP!H60/MP!$E$90</f>
        <v/>
      </c>
      <c r="M33" s="16">
        <f>MP!H60/MP!$E$90</f>
        <v/>
      </c>
      <c r="N33" s="16">
        <f>MP!H60/MP!$E$90</f>
        <v/>
      </c>
      <c r="O33" s="16">
        <f>SUM(D33:N33)-C33</f>
        <v/>
      </c>
    </row>
    <row r="34">
      <c r="B34" s="19">
        <f>MP!C61</f>
        <v/>
      </c>
      <c r="C34" s="20">
        <f>MP!I61</f>
        <v/>
      </c>
      <c r="D34" s="20">
        <f>MP!F61/MP!$E$88</f>
        <v/>
      </c>
      <c r="E34" s="20">
        <f>MP!F61/MP!$E$88</f>
        <v/>
      </c>
      <c r="F34" s="20">
        <f>MP!F61/MP!$E$88</f>
        <v/>
      </c>
      <c r="G34" s="20">
        <f>MP!F61/MP!$E$88</f>
        <v/>
      </c>
      <c r="H34" s="20">
        <f>MP!G61/MP!$E$89</f>
        <v/>
      </c>
      <c r="I34" s="20">
        <f>MP!G61/MP!$E$89</f>
        <v/>
      </c>
      <c r="J34" s="20">
        <f>MP!G61/MP!$E$89</f>
        <v/>
      </c>
      <c r="K34" s="20">
        <f>MP!H61/MP!$E$90</f>
        <v/>
      </c>
      <c r="L34" s="20">
        <f>MP!H61/MP!$E$90</f>
        <v/>
      </c>
      <c r="M34" s="20">
        <f>MP!H61/MP!$E$90</f>
        <v/>
      </c>
      <c r="N34" s="20">
        <f>MP!H61/MP!$E$90</f>
        <v/>
      </c>
      <c r="O34" s="20">
        <f>SUM(D34:N34)-C34</f>
        <v/>
      </c>
    </row>
    <row r="35">
      <c r="B35" s="15">
        <f>MP!C62</f>
        <v/>
      </c>
      <c r="C35" s="16">
        <f>MP!I62</f>
        <v/>
      </c>
      <c r="D35" s="16">
        <f>MP!F62/MP!$E$88</f>
        <v/>
      </c>
      <c r="E35" s="16">
        <f>MP!F62/MP!$E$88</f>
        <v/>
      </c>
      <c r="F35" s="16">
        <f>MP!F62/MP!$E$88</f>
        <v/>
      </c>
      <c r="G35" s="16">
        <f>MP!F62/MP!$E$88</f>
        <v/>
      </c>
      <c r="H35" s="16">
        <f>MP!G62/MP!$E$89</f>
        <v/>
      </c>
      <c r="I35" s="16">
        <f>MP!G62/MP!$E$89</f>
        <v/>
      </c>
      <c r="J35" s="16">
        <f>MP!G62/MP!$E$89</f>
        <v/>
      </c>
      <c r="K35" s="16">
        <f>MP!H62/MP!$E$90</f>
        <v/>
      </c>
      <c r="L35" s="16">
        <f>MP!H62/MP!$E$90</f>
        <v/>
      </c>
      <c r="M35" s="16">
        <f>MP!H62/MP!$E$90</f>
        <v/>
      </c>
      <c r="N35" s="16">
        <f>MP!H62/MP!$E$90</f>
        <v/>
      </c>
      <c r="O35" s="16">
        <f>SUM(D35:N35)-C35</f>
        <v/>
      </c>
    </row>
    <row r="36">
      <c r="B36" s="19">
        <f>MP!C63</f>
        <v/>
      </c>
      <c r="C36" s="20">
        <f>MP!I63</f>
        <v/>
      </c>
      <c r="D36" s="20">
        <f>MP!F63/MP!$E$88</f>
        <v/>
      </c>
      <c r="E36" s="20">
        <f>MP!F63/MP!$E$88</f>
        <v/>
      </c>
      <c r="F36" s="20">
        <f>MP!F63/MP!$E$88</f>
        <v/>
      </c>
      <c r="G36" s="20">
        <f>MP!F63/MP!$E$88</f>
        <v/>
      </c>
      <c r="H36" s="20">
        <f>MP!G63/MP!$E$89</f>
        <v/>
      </c>
      <c r="I36" s="20">
        <f>MP!G63/MP!$E$89</f>
        <v/>
      </c>
      <c r="J36" s="20">
        <f>MP!G63/MP!$E$89</f>
        <v/>
      </c>
      <c r="K36" s="20">
        <f>MP!H63/MP!$E$90</f>
        <v/>
      </c>
      <c r="L36" s="20">
        <f>MP!H63/MP!$E$90</f>
        <v/>
      </c>
      <c r="M36" s="20">
        <f>MP!H63/MP!$E$90</f>
        <v/>
      </c>
      <c r="N36" s="20">
        <f>MP!H63/MP!$E$90</f>
        <v/>
      </c>
      <c r="O36" s="20">
        <f>SUM(D36:N36)-C36</f>
        <v/>
      </c>
    </row>
    <row r="37">
      <c r="B37" s="15">
        <f>MP!C64</f>
        <v/>
      </c>
      <c r="C37" s="16">
        <f>MP!I64</f>
        <v/>
      </c>
      <c r="D37" s="16">
        <f>MP!F64/MP!$E$88</f>
        <v/>
      </c>
      <c r="E37" s="16">
        <f>MP!F64/MP!$E$88</f>
        <v/>
      </c>
      <c r="F37" s="16">
        <f>MP!F64/MP!$E$88</f>
        <v/>
      </c>
      <c r="G37" s="16">
        <f>MP!F64/MP!$E$88</f>
        <v/>
      </c>
      <c r="H37" s="16">
        <f>MP!G64/MP!$E$89</f>
        <v/>
      </c>
      <c r="I37" s="16">
        <f>MP!G64/MP!$E$89</f>
        <v/>
      </c>
      <c r="J37" s="16">
        <f>MP!G64/MP!$E$89</f>
        <v/>
      </c>
      <c r="K37" s="16">
        <f>MP!H64/MP!$E$90</f>
        <v/>
      </c>
      <c r="L37" s="16">
        <f>MP!H64/MP!$E$90</f>
        <v/>
      </c>
      <c r="M37" s="16">
        <f>MP!H64/MP!$E$90</f>
        <v/>
      </c>
      <c r="N37" s="16">
        <f>MP!H64/MP!$E$90</f>
        <v/>
      </c>
      <c r="O37" s="16">
        <f>SUM(D37:N37)-C37</f>
        <v/>
      </c>
    </row>
    <row r="38">
      <c r="B38" s="19">
        <f>MP!C65</f>
        <v/>
      </c>
      <c r="C38" s="20">
        <f>MP!I65</f>
        <v/>
      </c>
      <c r="D38" s="20">
        <f>MP!F65/MP!$E$88</f>
        <v/>
      </c>
      <c r="E38" s="20">
        <f>MP!F65/MP!$E$88</f>
        <v/>
      </c>
      <c r="F38" s="20">
        <f>MP!F65/MP!$E$88</f>
        <v/>
      </c>
      <c r="G38" s="20">
        <f>MP!F65/MP!$E$88</f>
        <v/>
      </c>
      <c r="H38" s="20">
        <f>MP!G65/MP!$E$89</f>
        <v/>
      </c>
      <c r="I38" s="20">
        <f>MP!G65/MP!$E$89</f>
        <v/>
      </c>
      <c r="J38" s="20">
        <f>MP!G65/MP!$E$89</f>
        <v/>
      </c>
      <c r="K38" s="20">
        <f>MP!H65/MP!$E$90</f>
        <v/>
      </c>
      <c r="L38" s="20">
        <f>MP!H65/MP!$E$90</f>
        <v/>
      </c>
      <c r="M38" s="20">
        <f>MP!H65/MP!$E$90</f>
        <v/>
      </c>
      <c r="N38" s="20">
        <f>MP!H65/MP!$E$90</f>
        <v/>
      </c>
      <c r="O38" s="20">
        <f>SUM(D38:N38)-C38</f>
        <v/>
      </c>
    </row>
    <row r="39">
      <c r="B39" s="15">
        <f>MP!C66</f>
        <v/>
      </c>
      <c r="C39" s="16">
        <f>MP!I66</f>
        <v/>
      </c>
      <c r="D39" s="16">
        <f>MP!F66/MP!$E$88</f>
        <v/>
      </c>
      <c r="E39" s="16">
        <f>MP!F66/MP!$E$88</f>
        <v/>
      </c>
      <c r="F39" s="16">
        <f>MP!F66/MP!$E$88</f>
        <v/>
      </c>
      <c r="G39" s="16">
        <f>MP!F66/MP!$E$88</f>
        <v/>
      </c>
      <c r="H39" s="16">
        <f>MP!G66/MP!$E$89</f>
        <v/>
      </c>
      <c r="I39" s="16">
        <f>MP!G66/MP!$E$89</f>
        <v/>
      </c>
      <c r="J39" s="16">
        <f>MP!G66/MP!$E$89</f>
        <v/>
      </c>
      <c r="K39" s="16">
        <f>MP!H66/MP!$E$90</f>
        <v/>
      </c>
      <c r="L39" s="16">
        <f>MP!H66/MP!$E$90</f>
        <v/>
      </c>
      <c r="M39" s="16">
        <f>MP!H66/MP!$E$90</f>
        <v/>
      </c>
      <c r="N39" s="16">
        <f>MP!H66/MP!$E$90</f>
        <v/>
      </c>
      <c r="O39" s="16">
        <f>SUM(D39:N39)-C39</f>
        <v/>
      </c>
    </row>
    <row r="40">
      <c r="B40" s="19">
        <f>MP!C67</f>
        <v/>
      </c>
      <c r="C40" s="20">
        <f>MP!I67</f>
        <v/>
      </c>
      <c r="D40" s="20">
        <f>MP!F67/MP!$E$88</f>
        <v/>
      </c>
      <c r="E40" s="20">
        <f>MP!F67/MP!$E$88</f>
        <v/>
      </c>
      <c r="F40" s="20">
        <f>MP!F67/MP!$E$88</f>
        <v/>
      </c>
      <c r="G40" s="20">
        <f>MP!F67/MP!$E$88</f>
        <v/>
      </c>
      <c r="H40" s="20">
        <f>MP!G67/MP!$E$89</f>
        <v/>
      </c>
      <c r="I40" s="20">
        <f>MP!G67/MP!$E$89</f>
        <v/>
      </c>
      <c r="J40" s="20">
        <f>MP!G67/MP!$E$89</f>
        <v/>
      </c>
      <c r="K40" s="20">
        <f>MP!H67/MP!$E$90</f>
        <v/>
      </c>
      <c r="L40" s="20">
        <f>MP!H67/MP!$E$90</f>
        <v/>
      </c>
      <c r="M40" s="20">
        <f>MP!H67/MP!$E$90</f>
        <v/>
      </c>
      <c r="N40" s="20">
        <f>MP!H67/MP!$E$90</f>
        <v/>
      </c>
      <c r="O40" s="20">
        <f>SUM(D40:N40)-C40</f>
        <v/>
      </c>
    </row>
    <row r="41">
      <c r="B41" s="15">
        <f>MP!C68</f>
        <v/>
      </c>
      <c r="C41" s="16">
        <f>MP!I68</f>
        <v/>
      </c>
      <c r="D41" s="16">
        <f>MP!F68/MP!$E$88</f>
        <v/>
      </c>
      <c r="E41" s="16">
        <f>MP!F68/MP!$E$88</f>
        <v/>
      </c>
      <c r="F41" s="16">
        <f>MP!F68/MP!$E$88</f>
        <v/>
      </c>
      <c r="G41" s="16">
        <f>MP!F68/MP!$E$88</f>
        <v/>
      </c>
      <c r="H41" s="16">
        <f>MP!G68/MP!$E$89</f>
        <v/>
      </c>
      <c r="I41" s="16">
        <f>MP!G68/MP!$E$89</f>
        <v/>
      </c>
      <c r="J41" s="16">
        <f>MP!G68/MP!$E$89</f>
        <v/>
      </c>
      <c r="K41" s="16">
        <f>MP!H68/MP!$E$90</f>
        <v/>
      </c>
      <c r="L41" s="16">
        <f>MP!H68/MP!$E$90</f>
        <v/>
      </c>
      <c r="M41" s="16">
        <f>MP!H68/MP!$E$90</f>
        <v/>
      </c>
      <c r="N41" s="16">
        <f>MP!H68/MP!$E$90</f>
        <v/>
      </c>
      <c r="O41" s="16">
        <f>SUM(D41:N41)-C41</f>
        <v/>
      </c>
    </row>
    <row r="42">
      <c r="B42" s="19">
        <f>MP!C69</f>
        <v/>
      </c>
      <c r="C42" s="20">
        <f>MP!I69</f>
        <v/>
      </c>
      <c r="D42" s="20">
        <f>MP!F69/MP!$E$88</f>
        <v/>
      </c>
      <c r="E42" s="20">
        <f>MP!F69/MP!$E$88</f>
        <v/>
      </c>
      <c r="F42" s="20">
        <f>MP!F69/MP!$E$88</f>
        <v/>
      </c>
      <c r="G42" s="20">
        <f>MP!F69/MP!$E$88</f>
        <v/>
      </c>
      <c r="H42" s="20">
        <f>MP!G69/MP!$E$89</f>
        <v/>
      </c>
      <c r="I42" s="20">
        <f>MP!G69/MP!$E$89</f>
        <v/>
      </c>
      <c r="J42" s="20">
        <f>MP!G69/MP!$E$89</f>
        <v/>
      </c>
      <c r="K42" s="20">
        <f>MP!H69/MP!$E$90</f>
        <v/>
      </c>
      <c r="L42" s="20">
        <f>MP!H69/MP!$E$90</f>
        <v/>
      </c>
      <c r="M42" s="20">
        <f>MP!H69/MP!$E$90</f>
        <v/>
      </c>
      <c r="N42" s="20">
        <f>MP!H69/MP!$E$90</f>
        <v/>
      </c>
      <c r="O42" s="20">
        <f>SUM(D42:N42)-C42</f>
        <v/>
      </c>
    </row>
    <row r="43">
      <c r="B43" s="15">
        <f>MP!C70</f>
        <v/>
      </c>
      <c r="C43" s="16">
        <f>MP!I70</f>
        <v/>
      </c>
      <c r="D43" s="16">
        <f>MP!F70/MP!$E$88</f>
        <v/>
      </c>
      <c r="E43" s="16">
        <f>MP!F70/MP!$E$88</f>
        <v/>
      </c>
      <c r="F43" s="16">
        <f>MP!F70/MP!$E$88</f>
        <v/>
      </c>
      <c r="G43" s="16">
        <f>MP!F70/MP!$E$88</f>
        <v/>
      </c>
      <c r="H43" s="16">
        <f>MP!G70/MP!$E$89</f>
        <v/>
      </c>
      <c r="I43" s="16">
        <f>MP!G70/MP!$E$89</f>
        <v/>
      </c>
      <c r="J43" s="16">
        <f>MP!G70/MP!$E$89</f>
        <v/>
      </c>
      <c r="K43" s="16">
        <f>MP!H70/MP!$E$90</f>
        <v/>
      </c>
      <c r="L43" s="16">
        <f>MP!H70/MP!$E$90</f>
        <v/>
      </c>
      <c r="M43" s="16">
        <f>MP!H70/MP!$E$90</f>
        <v/>
      </c>
      <c r="N43" s="16">
        <f>MP!H70/MP!$E$90</f>
        <v/>
      </c>
      <c r="O43" s="16">
        <f>SUM(D43:N43)-C43</f>
        <v/>
      </c>
    </row>
    <row r="44">
      <c r="B44" s="19">
        <f>MP!C71</f>
        <v/>
      </c>
      <c r="C44" s="20">
        <f>MP!I71</f>
        <v/>
      </c>
      <c r="D44" s="20">
        <f>MP!F71/MP!$E$88</f>
        <v/>
      </c>
      <c r="E44" s="20">
        <f>MP!F71/MP!$E$88</f>
        <v/>
      </c>
      <c r="F44" s="20">
        <f>MP!F71/MP!$E$88</f>
        <v/>
      </c>
      <c r="G44" s="20">
        <f>MP!F71/MP!$E$88</f>
        <v/>
      </c>
      <c r="H44" s="20">
        <f>MP!G71/MP!$E$89</f>
        <v/>
      </c>
      <c r="I44" s="20">
        <f>MP!G71/MP!$E$89</f>
        <v/>
      </c>
      <c r="J44" s="20">
        <f>MP!G71/MP!$E$89</f>
        <v/>
      </c>
      <c r="K44" s="20">
        <f>MP!H71/MP!$E$90</f>
        <v/>
      </c>
      <c r="L44" s="20">
        <f>MP!H71/MP!$E$90</f>
        <v/>
      </c>
      <c r="M44" s="20">
        <f>MP!H71/MP!$E$90</f>
        <v/>
      </c>
      <c r="N44" s="20">
        <f>MP!H71/MP!$E$90</f>
        <v/>
      </c>
      <c r="O44" s="20">
        <f>SUM(D44:N44)-C44</f>
        <v/>
      </c>
    </row>
    <row r="45">
      <c r="B45" s="15">
        <f>MP!C72</f>
        <v/>
      </c>
      <c r="C45" s="16">
        <f>MP!I72</f>
        <v/>
      </c>
      <c r="D45" s="16">
        <f>MP!F72/MP!$E$88</f>
        <v/>
      </c>
      <c r="E45" s="16">
        <f>MP!F72/MP!$E$88</f>
        <v/>
      </c>
      <c r="F45" s="16">
        <f>MP!F72/MP!$E$88</f>
        <v/>
      </c>
      <c r="G45" s="16">
        <f>MP!F72/MP!$E$88</f>
        <v/>
      </c>
      <c r="H45" s="16">
        <f>MP!G72/MP!$E$89</f>
        <v/>
      </c>
      <c r="I45" s="16">
        <f>MP!G72/MP!$E$89</f>
        <v/>
      </c>
      <c r="J45" s="16">
        <f>MP!G72/MP!$E$89</f>
        <v/>
      </c>
      <c r="K45" s="16">
        <f>MP!H72/MP!$E$90</f>
        <v/>
      </c>
      <c r="L45" s="16">
        <f>MP!H72/MP!$E$90</f>
        <v/>
      </c>
      <c r="M45" s="16">
        <f>MP!H72/MP!$E$90</f>
        <v/>
      </c>
      <c r="N45" s="16">
        <f>MP!H72/MP!$E$90</f>
        <v/>
      </c>
      <c r="O45" s="16">
        <f>SUM(D45:N45)-C45</f>
        <v/>
      </c>
    </row>
    <row r="46">
      <c r="B46" s="19">
        <f>MP!C73</f>
        <v/>
      </c>
      <c r="C46" s="20">
        <f>MP!I73</f>
        <v/>
      </c>
      <c r="D46" s="20">
        <f>MP!F73/MP!$E$88</f>
        <v/>
      </c>
      <c r="E46" s="20">
        <f>MP!F73/MP!$E$88</f>
        <v/>
      </c>
      <c r="F46" s="20">
        <f>MP!F73/MP!$E$88</f>
        <v/>
      </c>
      <c r="G46" s="20">
        <f>MP!F73/MP!$E$88</f>
        <v/>
      </c>
      <c r="H46" s="20">
        <f>MP!G73/MP!$E$89</f>
        <v/>
      </c>
      <c r="I46" s="20">
        <f>MP!G73/MP!$E$89</f>
        <v/>
      </c>
      <c r="J46" s="20">
        <f>MP!G73/MP!$E$89</f>
        <v/>
      </c>
      <c r="K46" s="20">
        <f>MP!H73/MP!$E$90</f>
        <v/>
      </c>
      <c r="L46" s="20">
        <f>MP!H73/MP!$E$90</f>
        <v/>
      </c>
      <c r="M46" s="20">
        <f>MP!H73/MP!$E$90</f>
        <v/>
      </c>
      <c r="N46" s="20">
        <f>MP!H73/MP!$E$90</f>
        <v/>
      </c>
      <c r="O46" s="20">
        <f>SUM(D46:N46)-C46</f>
        <v/>
      </c>
    </row>
    <row r="47">
      <c r="B47" s="15">
        <f>MP!C74</f>
        <v/>
      </c>
      <c r="C47" s="16">
        <f>MP!I74</f>
        <v/>
      </c>
      <c r="D47" s="16">
        <f>MP!F74/MP!$E$88</f>
        <v/>
      </c>
      <c r="E47" s="16">
        <f>MP!F74/MP!$E$88</f>
        <v/>
      </c>
      <c r="F47" s="16">
        <f>MP!F74/MP!$E$88</f>
        <v/>
      </c>
      <c r="G47" s="16">
        <f>MP!F74/MP!$E$88</f>
        <v/>
      </c>
      <c r="H47" s="16">
        <f>MP!G74/MP!$E$89</f>
        <v/>
      </c>
      <c r="I47" s="16">
        <f>MP!G74/MP!$E$89</f>
        <v/>
      </c>
      <c r="J47" s="16">
        <f>MP!G74/MP!$E$89</f>
        <v/>
      </c>
      <c r="K47" s="16">
        <f>MP!H74/MP!$E$90</f>
        <v/>
      </c>
      <c r="L47" s="16">
        <f>MP!H74/MP!$E$90</f>
        <v/>
      </c>
      <c r="M47" s="16">
        <f>MP!H74/MP!$E$90</f>
        <v/>
      </c>
      <c r="N47" s="16">
        <f>MP!H74/MP!$E$90</f>
        <v/>
      </c>
      <c r="O47" s="16">
        <f>SUM(D47:N47)-C47</f>
        <v/>
      </c>
    </row>
    <row r="48">
      <c r="B48" s="19">
        <f>MP!C75</f>
        <v/>
      </c>
      <c r="C48" s="20">
        <f>MP!I75</f>
        <v/>
      </c>
      <c r="D48" s="20">
        <f>MP!F75/MP!$E$88</f>
        <v/>
      </c>
      <c r="E48" s="20">
        <f>MP!F75/MP!$E$88</f>
        <v/>
      </c>
      <c r="F48" s="20">
        <f>MP!F75/MP!$E$88</f>
        <v/>
      </c>
      <c r="G48" s="20">
        <f>MP!F75/MP!$E$88</f>
        <v/>
      </c>
      <c r="H48" s="20">
        <f>MP!G75/MP!$E$89</f>
        <v/>
      </c>
      <c r="I48" s="20">
        <f>MP!G75/MP!$E$89</f>
        <v/>
      </c>
      <c r="J48" s="20">
        <f>MP!G75/MP!$E$89</f>
        <v/>
      </c>
      <c r="K48" s="20">
        <f>MP!H75/MP!$E$90</f>
        <v/>
      </c>
      <c r="L48" s="20">
        <f>MP!H75/MP!$E$90</f>
        <v/>
      </c>
      <c r="M48" s="20">
        <f>MP!H75/MP!$E$90</f>
        <v/>
      </c>
      <c r="N48" s="20">
        <f>MP!H75/MP!$E$90</f>
        <v/>
      </c>
      <c r="O48" s="20">
        <f>SUM(D48:N48)-C48</f>
        <v/>
      </c>
    </row>
    <row r="49">
      <c r="B49" s="15">
        <f>MP!C76</f>
        <v/>
      </c>
      <c r="C49" s="16">
        <f>MP!I76</f>
        <v/>
      </c>
      <c r="D49" s="16">
        <f>MP!F76/MP!$E$88</f>
        <v/>
      </c>
      <c r="E49" s="16">
        <f>MP!F76/MP!$E$88</f>
        <v/>
      </c>
      <c r="F49" s="16">
        <f>MP!F76/MP!$E$88</f>
        <v/>
      </c>
      <c r="G49" s="16">
        <f>MP!F76/MP!$E$88</f>
        <v/>
      </c>
      <c r="H49" s="16">
        <f>MP!G76/MP!$E$89</f>
        <v/>
      </c>
      <c r="I49" s="16">
        <f>MP!G76/MP!$E$89</f>
        <v/>
      </c>
      <c r="J49" s="16">
        <f>MP!G76/MP!$E$89</f>
        <v/>
      </c>
      <c r="K49" s="16">
        <f>MP!H76/MP!$E$90</f>
        <v/>
      </c>
      <c r="L49" s="16">
        <f>MP!H76/MP!$E$90</f>
        <v/>
      </c>
      <c r="M49" s="16">
        <f>MP!H76/MP!$E$90</f>
        <v/>
      </c>
      <c r="N49" s="16">
        <f>MP!H76/MP!$E$90</f>
        <v/>
      </c>
      <c r="O49" s="16">
        <f>SUM(D49:N49)-C49</f>
        <v/>
      </c>
    </row>
    <row r="50">
      <c r="B50" s="19">
        <f>MP!C77</f>
        <v/>
      </c>
      <c r="C50" s="20">
        <f>MP!I77</f>
        <v/>
      </c>
      <c r="D50" s="20">
        <f>MP!F77/MP!$E$88</f>
        <v/>
      </c>
      <c r="E50" s="20">
        <f>MP!F77/MP!$E$88</f>
        <v/>
      </c>
      <c r="F50" s="20">
        <f>MP!F77/MP!$E$88</f>
        <v/>
      </c>
      <c r="G50" s="20">
        <f>MP!F77/MP!$E$88</f>
        <v/>
      </c>
      <c r="H50" s="20">
        <f>MP!G77/MP!$E$89</f>
        <v/>
      </c>
      <c r="I50" s="20">
        <f>MP!G77/MP!$E$89</f>
        <v/>
      </c>
      <c r="J50" s="20">
        <f>MP!G77/MP!$E$89</f>
        <v/>
      </c>
      <c r="K50" s="20">
        <f>MP!H77/MP!$E$90</f>
        <v/>
      </c>
      <c r="L50" s="20">
        <f>MP!H77/MP!$E$90</f>
        <v/>
      </c>
      <c r="M50" s="20">
        <f>MP!H77/MP!$E$90</f>
        <v/>
      </c>
      <c r="N50" s="20">
        <f>MP!H77/MP!$E$90</f>
        <v/>
      </c>
      <c r="O50" s="20">
        <f>SUM(D50:N50)-C50</f>
        <v/>
      </c>
    </row>
    <row r="51">
      <c r="B51" s="15">
        <f>MP!C78</f>
        <v/>
      </c>
      <c r="C51" s="16">
        <f>MP!I78</f>
        <v/>
      </c>
      <c r="D51" s="16">
        <f>MP!F78/MP!$E$88</f>
        <v/>
      </c>
      <c r="E51" s="16">
        <f>MP!F78/MP!$E$88</f>
        <v/>
      </c>
      <c r="F51" s="16">
        <f>MP!F78/MP!$E$88</f>
        <v/>
      </c>
      <c r="G51" s="16">
        <f>MP!F78/MP!$E$88</f>
        <v/>
      </c>
      <c r="H51" s="16">
        <f>MP!G78/MP!$E$89</f>
        <v/>
      </c>
      <c r="I51" s="16">
        <f>MP!G78/MP!$E$89</f>
        <v/>
      </c>
      <c r="J51" s="16">
        <f>MP!G78/MP!$E$89</f>
        <v/>
      </c>
      <c r="K51" s="16">
        <f>MP!H78/MP!$E$90</f>
        <v/>
      </c>
      <c r="L51" s="16">
        <f>MP!H78/MP!$E$90</f>
        <v/>
      </c>
      <c r="M51" s="16">
        <f>MP!H78/MP!$E$90</f>
        <v/>
      </c>
      <c r="N51" s="16">
        <f>MP!H78/MP!$E$90</f>
        <v/>
      </c>
      <c r="O51" s="16">
        <f>SUM(D51:N51)-C51</f>
        <v/>
      </c>
    </row>
    <row r="52">
      <c r="B52" s="19">
        <f>MP!C79</f>
        <v/>
      </c>
      <c r="C52" s="20">
        <f>MP!I79</f>
        <v/>
      </c>
      <c r="D52" s="20">
        <f>MP!F79/MP!$E$88</f>
        <v/>
      </c>
      <c r="E52" s="20">
        <f>MP!F79/MP!$E$88</f>
        <v/>
      </c>
      <c r="F52" s="20">
        <f>MP!F79/MP!$E$88</f>
        <v/>
      </c>
      <c r="G52" s="20">
        <f>MP!F79/MP!$E$88</f>
        <v/>
      </c>
      <c r="H52" s="20">
        <f>MP!G79/MP!$E$89</f>
        <v/>
      </c>
      <c r="I52" s="20">
        <f>MP!G79/MP!$E$89</f>
        <v/>
      </c>
      <c r="J52" s="20">
        <f>MP!G79/MP!$E$89</f>
        <v/>
      </c>
      <c r="K52" s="20">
        <f>MP!H79/MP!$E$90</f>
        <v/>
      </c>
      <c r="L52" s="20">
        <f>MP!H79/MP!$E$90</f>
        <v/>
      </c>
      <c r="M52" s="20">
        <f>MP!H79/MP!$E$90</f>
        <v/>
      </c>
      <c r="N52" s="20">
        <f>MP!H79/MP!$E$90</f>
        <v/>
      </c>
      <c r="O52" s="20">
        <f>SUM(D52:N52)-C52</f>
        <v/>
      </c>
    </row>
    <row r="53">
      <c r="B53" s="15">
        <f>MP!C80</f>
        <v/>
      </c>
      <c r="C53" s="16">
        <f>MP!I80</f>
        <v/>
      </c>
      <c r="D53" s="16">
        <f>MP!F80/MP!$E$88</f>
        <v/>
      </c>
      <c r="E53" s="16">
        <f>MP!F80/MP!$E$88</f>
        <v/>
      </c>
      <c r="F53" s="16">
        <f>MP!F80/MP!$E$88</f>
        <v/>
      </c>
      <c r="G53" s="16">
        <f>MP!F80/MP!$E$88</f>
        <v/>
      </c>
      <c r="H53" s="16">
        <f>MP!G80/MP!$E$89</f>
        <v/>
      </c>
      <c r="I53" s="16">
        <f>MP!G80/MP!$E$89</f>
        <v/>
      </c>
      <c r="J53" s="16">
        <f>MP!G80/MP!$E$89</f>
        <v/>
      </c>
      <c r="K53" s="16">
        <f>MP!H80/MP!$E$90</f>
        <v/>
      </c>
      <c r="L53" s="16">
        <f>MP!H80/MP!$E$90</f>
        <v/>
      </c>
      <c r="M53" s="16">
        <f>MP!H80/MP!$E$90</f>
        <v/>
      </c>
      <c r="N53" s="16">
        <f>MP!H80/MP!$E$90</f>
        <v/>
      </c>
      <c r="O53" s="16">
        <f>SUM(D53:N53)-C53</f>
        <v/>
      </c>
    </row>
    <row r="54" ht="20" customHeight="1">
      <c r="B54" s="25" t="inlineStr">
        <is>
          <t>Total</t>
        </is>
      </c>
      <c r="C54" s="27">
        <f>SUM(C33:C53)</f>
        <v/>
      </c>
      <c r="D54" s="27">
        <f>SUM(D33:D53)</f>
        <v/>
      </c>
      <c r="E54" s="27">
        <f>SUM(E33:E53)</f>
        <v/>
      </c>
      <c r="F54" s="27">
        <f>SUM(F33:F53)</f>
        <v/>
      </c>
      <c r="G54" s="27">
        <f>SUM(G33:G53)</f>
        <v/>
      </c>
      <c r="H54" s="27">
        <f>SUM(H33:H53)</f>
        <v/>
      </c>
      <c r="I54" s="27">
        <f>SUM(I33:I53)</f>
        <v/>
      </c>
      <c r="J54" s="27">
        <f>SUM(J33:J53)</f>
        <v/>
      </c>
      <c r="K54" s="27">
        <f>SUM(K33:K53)</f>
        <v/>
      </c>
      <c r="L54" s="27">
        <f>SUM(L33:L53)</f>
        <v/>
      </c>
      <c r="M54" s="27">
        <f>SUM(M33:M53)</f>
        <v/>
      </c>
      <c r="N54" s="27">
        <f>SUM(N33:N53)</f>
        <v/>
      </c>
      <c r="O54" s="27">
        <f>SUM(O33:O53)</f>
        <v/>
      </c>
    </row>
    <row r="56" ht="24" customHeight="1">
      <c r="B56" s="12" t="inlineStr">
        <is>
          <t>CONTROL DE CONSUMO · ESCENARIO CONSERVADOR</t>
        </is>
      </c>
      <c r="C56" s="13" t="n"/>
      <c r="D56" s="13" t="n"/>
      <c r="E56" s="13" t="n"/>
      <c r="F56" s="13" t="n"/>
      <c r="G56" s="13" t="n"/>
      <c r="H56" s="13" t="n"/>
      <c r="I56" s="13" t="n"/>
      <c r="J56" s="13" t="n"/>
      <c r="K56" s="13" t="n"/>
      <c r="L56" s="13" t="n"/>
      <c r="M56" s="13" t="n"/>
      <c r="N56" s="13" t="n"/>
      <c r="O56" s="13" t="n"/>
      <c r="P56" s="13" t="n"/>
      <c r="Q56" s="13" t="n"/>
      <c r="R56" s="13" t="n"/>
      <c r="S56" s="13" t="n"/>
      <c r="T56" s="13" t="n"/>
      <c r="U56" s="13" t="n"/>
      <c r="V56" s="13" t="n"/>
      <c r="W56" s="13" t="n"/>
      <c r="X56" s="13" t="n"/>
      <c r="Y56" s="13" t="n"/>
      <c r="Z56" s="13" t="n"/>
      <c r="AA56" s="13" t="n"/>
    </row>
    <row r="57" ht="30" customHeight="1">
      <c r="B57" s="14" t="inlineStr">
        <is>
          <t>Campaña</t>
        </is>
      </c>
      <c r="C57" s="14" t="inlineStr">
        <is>
          <t>Inversión</t>
        </is>
      </c>
      <c r="D57" s="44">
        <f>MP!$C$88+0</f>
        <v/>
      </c>
      <c r="E57" s="45" t="inlineStr">
        <is>
          <t>%</t>
        </is>
      </c>
      <c r="F57" s="44">
        <f>MP!$C$88+1</f>
        <v/>
      </c>
      <c r="G57" s="45" t="inlineStr">
        <is>
          <t>%</t>
        </is>
      </c>
      <c r="H57" s="44">
        <f>MP!$C$88+2</f>
        <v/>
      </c>
      <c r="I57" s="45" t="inlineStr">
        <is>
          <t>%</t>
        </is>
      </c>
      <c r="J57" s="44">
        <f>MP!$C$88+3</f>
        <v/>
      </c>
      <c r="K57" s="45" t="inlineStr">
        <is>
          <t>%</t>
        </is>
      </c>
      <c r="L57" s="44">
        <f>MP!$C$88+4</f>
        <v/>
      </c>
      <c r="M57" s="45" t="inlineStr">
        <is>
          <t>%</t>
        </is>
      </c>
      <c r="N57" s="44">
        <f>MP!$C$88+5</f>
        <v/>
      </c>
      <c r="O57" s="45" t="inlineStr">
        <is>
          <t>%</t>
        </is>
      </c>
      <c r="P57" s="44">
        <f>MP!$C$88+6</f>
        <v/>
      </c>
      <c r="Q57" s="45" t="inlineStr">
        <is>
          <t>%</t>
        </is>
      </c>
      <c r="R57" s="44">
        <f>MP!$C$88+7</f>
        <v/>
      </c>
      <c r="S57" s="45" t="inlineStr">
        <is>
          <t>%</t>
        </is>
      </c>
      <c r="T57" s="44">
        <f>MP!$C$88+8</f>
        <v/>
      </c>
      <c r="U57" s="45" t="inlineStr">
        <is>
          <t>%</t>
        </is>
      </c>
      <c r="V57" s="44">
        <f>MP!$C$88+9</f>
        <v/>
      </c>
      <c r="W57" s="45" t="inlineStr">
        <is>
          <t>%</t>
        </is>
      </c>
      <c r="X57" s="44">
        <f>MP!$C$88+10</f>
        <v/>
      </c>
      <c r="Y57" s="45" t="inlineStr">
        <is>
          <t>%</t>
        </is>
      </c>
      <c r="AA57" s="45" t="inlineStr">
        <is>
          <t>Consumo TOTAL</t>
        </is>
      </c>
    </row>
    <row r="58">
      <c r="B58" s="15">
        <f>B8</f>
        <v/>
      </c>
      <c r="C58" s="16">
        <f>C8</f>
        <v/>
      </c>
      <c r="D58" s="46" t="n"/>
      <c r="E58" s="47">
        <f>IF(D58="","",IFERROR(D58/D8,""))</f>
        <v/>
      </c>
      <c r="F58" s="46" t="n"/>
      <c r="G58" s="47">
        <f>IF(F58="","",IFERROR(F58/E8,""))</f>
        <v/>
      </c>
      <c r="H58" s="46" t="n"/>
      <c r="I58" s="47">
        <f>IF(H58="","",IFERROR(H58/F8,""))</f>
        <v/>
      </c>
      <c r="J58" s="46" t="n"/>
      <c r="K58" s="47">
        <f>IF(J58="","",IFERROR(J58/G8,""))</f>
        <v/>
      </c>
      <c r="L58" s="46" t="n"/>
      <c r="M58" s="47">
        <f>IF(L58="","",IFERROR(L58/H8,""))</f>
        <v/>
      </c>
      <c r="N58" s="46" t="n"/>
      <c r="O58" s="47">
        <f>IF(N58="","",IFERROR(N58/I8,""))</f>
        <v/>
      </c>
      <c r="P58" s="46" t="n"/>
      <c r="Q58" s="47">
        <f>IF(P58="","",IFERROR(P58/J8,""))</f>
        <v/>
      </c>
      <c r="R58" s="46" t="n"/>
      <c r="S58" s="47">
        <f>IF(R58="","",IFERROR(R58/K8,""))</f>
        <v/>
      </c>
      <c r="T58" s="46" t="n"/>
      <c r="U58" s="47">
        <f>IF(T58="","",IFERROR(T58/L8,""))</f>
        <v/>
      </c>
      <c r="V58" s="46" t="n"/>
      <c r="W58" s="47">
        <f>IF(V58="","",IFERROR(V58/M8,""))</f>
        <v/>
      </c>
      <c r="X58" s="46" t="n"/>
      <c r="Y58" s="47">
        <f>IF(X58="","",IFERROR(X58/N8,""))</f>
        <v/>
      </c>
      <c r="AA58" s="48">
        <f>SUM(D58,F58,H58,J58,L58,N58,P58,R58,T58,V58,X58)</f>
        <v/>
      </c>
    </row>
    <row r="59">
      <c r="B59" s="19">
        <f>B9</f>
        <v/>
      </c>
      <c r="C59" s="20">
        <f>C9</f>
        <v/>
      </c>
      <c r="D59" s="49" t="n"/>
      <c r="E59" s="50">
        <f>IF(D59="","",IFERROR(D59/D9,""))</f>
        <v/>
      </c>
      <c r="F59" s="49" t="n"/>
      <c r="G59" s="50">
        <f>IF(F59="","",IFERROR(F59/E9,""))</f>
        <v/>
      </c>
      <c r="H59" s="49" t="n"/>
      <c r="I59" s="50">
        <f>IF(H59="","",IFERROR(H59/F9,""))</f>
        <v/>
      </c>
      <c r="J59" s="49" t="n"/>
      <c r="K59" s="50">
        <f>IF(J59="","",IFERROR(J59/G9,""))</f>
        <v/>
      </c>
      <c r="L59" s="49" t="n"/>
      <c r="M59" s="50">
        <f>IF(L59="","",IFERROR(L59/H9,""))</f>
        <v/>
      </c>
      <c r="N59" s="49" t="n"/>
      <c r="O59" s="50">
        <f>IF(N59="","",IFERROR(N59/I9,""))</f>
        <v/>
      </c>
      <c r="P59" s="49" t="n"/>
      <c r="Q59" s="50">
        <f>IF(P59="","",IFERROR(P59/J9,""))</f>
        <v/>
      </c>
      <c r="R59" s="49" t="n"/>
      <c r="S59" s="50">
        <f>IF(R59="","",IFERROR(R59/K9,""))</f>
        <v/>
      </c>
      <c r="T59" s="49" t="n"/>
      <c r="U59" s="50">
        <f>IF(T59="","",IFERROR(T59/L9,""))</f>
        <v/>
      </c>
      <c r="V59" s="49" t="n"/>
      <c r="W59" s="50">
        <f>IF(V59="","",IFERROR(V59/M9,""))</f>
        <v/>
      </c>
      <c r="X59" s="49" t="n"/>
      <c r="Y59" s="50">
        <f>IF(X59="","",IFERROR(X59/N9,""))</f>
        <v/>
      </c>
      <c r="AA59" s="51">
        <f>SUM(D59,F59,H59,J59,L59,N59,P59,R59,T59,V59,X59)</f>
        <v/>
      </c>
    </row>
    <row r="60">
      <c r="B60" s="15">
        <f>B10</f>
        <v/>
      </c>
      <c r="C60" s="16">
        <f>C10</f>
        <v/>
      </c>
      <c r="D60" s="46" t="n"/>
      <c r="E60" s="47">
        <f>IF(D60="","",IFERROR(D60/D10,""))</f>
        <v/>
      </c>
      <c r="F60" s="46" t="n"/>
      <c r="G60" s="47">
        <f>IF(F60="","",IFERROR(F60/E10,""))</f>
        <v/>
      </c>
      <c r="H60" s="46" t="n"/>
      <c r="I60" s="47">
        <f>IF(H60="","",IFERROR(H60/F10,""))</f>
        <v/>
      </c>
      <c r="J60" s="46" t="n"/>
      <c r="K60" s="47">
        <f>IF(J60="","",IFERROR(J60/G10,""))</f>
        <v/>
      </c>
      <c r="L60" s="46" t="n"/>
      <c r="M60" s="47">
        <f>IF(L60="","",IFERROR(L60/H10,""))</f>
        <v/>
      </c>
      <c r="N60" s="46" t="n"/>
      <c r="O60" s="47">
        <f>IF(N60="","",IFERROR(N60/I10,""))</f>
        <v/>
      </c>
      <c r="P60" s="46" t="n"/>
      <c r="Q60" s="47">
        <f>IF(P60="","",IFERROR(P60/J10,""))</f>
        <v/>
      </c>
      <c r="R60" s="46" t="n"/>
      <c r="S60" s="47">
        <f>IF(R60="","",IFERROR(R60/K10,""))</f>
        <v/>
      </c>
      <c r="T60" s="46" t="n"/>
      <c r="U60" s="47">
        <f>IF(T60="","",IFERROR(T60/L10,""))</f>
        <v/>
      </c>
      <c r="V60" s="46" t="n"/>
      <c r="W60" s="47">
        <f>IF(V60="","",IFERROR(V60/M10,""))</f>
        <v/>
      </c>
      <c r="X60" s="46" t="n"/>
      <c r="Y60" s="47">
        <f>IF(X60="","",IFERROR(X60/N10,""))</f>
        <v/>
      </c>
      <c r="AA60" s="48">
        <f>SUM(D60,F60,H60,J60,L60,N60,P60,R60,T60,V60,X60)</f>
        <v/>
      </c>
    </row>
    <row r="61">
      <c r="B61" s="19">
        <f>B11</f>
        <v/>
      </c>
      <c r="C61" s="20">
        <f>C11</f>
        <v/>
      </c>
      <c r="D61" s="49" t="n"/>
      <c r="E61" s="50">
        <f>IF(D61="","",IFERROR(D61/D11,""))</f>
        <v/>
      </c>
      <c r="F61" s="49" t="n"/>
      <c r="G61" s="50">
        <f>IF(F61="","",IFERROR(F61/E11,""))</f>
        <v/>
      </c>
      <c r="H61" s="49" t="n"/>
      <c r="I61" s="50">
        <f>IF(H61="","",IFERROR(H61/F11,""))</f>
        <v/>
      </c>
      <c r="J61" s="49" t="n"/>
      <c r="K61" s="50">
        <f>IF(J61="","",IFERROR(J61/G11,""))</f>
        <v/>
      </c>
      <c r="L61" s="49" t="n"/>
      <c r="M61" s="50">
        <f>IF(L61="","",IFERROR(L61/H11,""))</f>
        <v/>
      </c>
      <c r="N61" s="49" t="n"/>
      <c r="O61" s="50">
        <f>IF(N61="","",IFERROR(N61/I11,""))</f>
        <v/>
      </c>
      <c r="P61" s="49" t="n"/>
      <c r="Q61" s="50">
        <f>IF(P61="","",IFERROR(P61/J11,""))</f>
        <v/>
      </c>
      <c r="R61" s="49" t="n"/>
      <c r="S61" s="50">
        <f>IF(R61="","",IFERROR(R61/K11,""))</f>
        <v/>
      </c>
      <c r="T61" s="49" t="n"/>
      <c r="U61" s="50">
        <f>IF(T61="","",IFERROR(T61/L11,""))</f>
        <v/>
      </c>
      <c r="V61" s="49" t="n"/>
      <c r="W61" s="50">
        <f>IF(V61="","",IFERROR(V61/M11,""))</f>
        <v/>
      </c>
      <c r="X61" s="49" t="n"/>
      <c r="Y61" s="50">
        <f>IF(X61="","",IFERROR(X61/N11,""))</f>
        <v/>
      </c>
      <c r="AA61" s="51">
        <f>SUM(D61,F61,H61,J61,L61,N61,P61,R61,T61,V61,X61)</f>
        <v/>
      </c>
    </row>
    <row r="62">
      <c r="B62" s="15">
        <f>B12</f>
        <v/>
      </c>
      <c r="C62" s="16">
        <f>C12</f>
        <v/>
      </c>
      <c r="D62" s="46" t="n"/>
      <c r="E62" s="47">
        <f>IF(D62="","",IFERROR(D62/D12,""))</f>
        <v/>
      </c>
      <c r="F62" s="46" t="n"/>
      <c r="G62" s="47">
        <f>IF(F62="","",IFERROR(F62/E12,""))</f>
        <v/>
      </c>
      <c r="H62" s="46" t="n"/>
      <c r="I62" s="47">
        <f>IF(H62="","",IFERROR(H62/F12,""))</f>
        <v/>
      </c>
      <c r="J62" s="46" t="n"/>
      <c r="K62" s="47">
        <f>IF(J62="","",IFERROR(J62/G12,""))</f>
        <v/>
      </c>
      <c r="L62" s="46" t="n"/>
      <c r="M62" s="47">
        <f>IF(L62="","",IFERROR(L62/H12,""))</f>
        <v/>
      </c>
      <c r="N62" s="46" t="n"/>
      <c r="O62" s="47">
        <f>IF(N62="","",IFERROR(N62/I12,""))</f>
        <v/>
      </c>
      <c r="P62" s="46" t="n"/>
      <c r="Q62" s="47">
        <f>IF(P62="","",IFERROR(P62/J12,""))</f>
        <v/>
      </c>
      <c r="R62" s="46" t="n"/>
      <c r="S62" s="47">
        <f>IF(R62="","",IFERROR(R62/K12,""))</f>
        <v/>
      </c>
      <c r="T62" s="46" t="n"/>
      <c r="U62" s="47">
        <f>IF(T62="","",IFERROR(T62/L12,""))</f>
        <v/>
      </c>
      <c r="V62" s="46" t="n"/>
      <c r="W62" s="47">
        <f>IF(V62="","",IFERROR(V62/M12,""))</f>
        <v/>
      </c>
      <c r="X62" s="46" t="n"/>
      <c r="Y62" s="47">
        <f>IF(X62="","",IFERROR(X62/N12,""))</f>
        <v/>
      </c>
      <c r="AA62" s="48">
        <f>SUM(D62,F62,H62,J62,L62,N62,P62,R62,T62,V62,X62)</f>
        <v/>
      </c>
    </row>
    <row r="63">
      <c r="B63" s="19">
        <f>B13</f>
        <v/>
      </c>
      <c r="C63" s="20">
        <f>C13</f>
        <v/>
      </c>
      <c r="D63" s="49" t="n"/>
      <c r="E63" s="50">
        <f>IF(D63="","",IFERROR(D63/D13,""))</f>
        <v/>
      </c>
      <c r="F63" s="49" t="n"/>
      <c r="G63" s="50">
        <f>IF(F63="","",IFERROR(F63/E13,""))</f>
        <v/>
      </c>
      <c r="H63" s="49" t="n"/>
      <c r="I63" s="50">
        <f>IF(H63="","",IFERROR(H63/F13,""))</f>
        <v/>
      </c>
      <c r="J63" s="49" t="n"/>
      <c r="K63" s="50">
        <f>IF(J63="","",IFERROR(J63/G13,""))</f>
        <v/>
      </c>
      <c r="L63" s="49" t="n"/>
      <c r="M63" s="50">
        <f>IF(L63="","",IFERROR(L63/H13,""))</f>
        <v/>
      </c>
      <c r="N63" s="49" t="n"/>
      <c r="O63" s="50">
        <f>IF(N63="","",IFERROR(N63/I13,""))</f>
        <v/>
      </c>
      <c r="P63" s="49" t="n"/>
      <c r="Q63" s="50">
        <f>IF(P63="","",IFERROR(P63/J13,""))</f>
        <v/>
      </c>
      <c r="R63" s="49" t="n"/>
      <c r="S63" s="50">
        <f>IF(R63="","",IFERROR(R63/K13,""))</f>
        <v/>
      </c>
      <c r="T63" s="49" t="n"/>
      <c r="U63" s="50">
        <f>IF(T63="","",IFERROR(T63/L13,""))</f>
        <v/>
      </c>
      <c r="V63" s="49" t="n"/>
      <c r="W63" s="50">
        <f>IF(V63="","",IFERROR(V63/M13,""))</f>
        <v/>
      </c>
      <c r="X63" s="49" t="n"/>
      <c r="Y63" s="50">
        <f>IF(X63="","",IFERROR(X63/N13,""))</f>
        <v/>
      </c>
      <c r="AA63" s="51">
        <f>SUM(D63,F63,H63,J63,L63,N63,P63,R63,T63,V63,X63)</f>
        <v/>
      </c>
    </row>
    <row r="64">
      <c r="B64" s="15">
        <f>B14</f>
        <v/>
      </c>
      <c r="C64" s="16">
        <f>C14</f>
        <v/>
      </c>
      <c r="D64" s="46" t="n"/>
      <c r="E64" s="47">
        <f>IF(D64="","",IFERROR(D64/D14,""))</f>
        <v/>
      </c>
      <c r="F64" s="46" t="n"/>
      <c r="G64" s="47">
        <f>IF(F64="","",IFERROR(F64/E14,""))</f>
        <v/>
      </c>
      <c r="H64" s="46" t="n"/>
      <c r="I64" s="47">
        <f>IF(H64="","",IFERROR(H64/F14,""))</f>
        <v/>
      </c>
      <c r="J64" s="46" t="n"/>
      <c r="K64" s="47">
        <f>IF(J64="","",IFERROR(J64/G14,""))</f>
        <v/>
      </c>
      <c r="L64" s="46" t="n"/>
      <c r="M64" s="47">
        <f>IF(L64="","",IFERROR(L64/H14,""))</f>
        <v/>
      </c>
      <c r="N64" s="46" t="n"/>
      <c r="O64" s="47">
        <f>IF(N64="","",IFERROR(N64/I14,""))</f>
        <v/>
      </c>
      <c r="P64" s="46" t="n"/>
      <c r="Q64" s="47">
        <f>IF(P64="","",IFERROR(P64/J14,""))</f>
        <v/>
      </c>
      <c r="R64" s="46" t="n"/>
      <c r="S64" s="47">
        <f>IF(R64="","",IFERROR(R64/K14,""))</f>
        <v/>
      </c>
      <c r="T64" s="46" t="n"/>
      <c r="U64" s="47">
        <f>IF(T64="","",IFERROR(T64/L14,""))</f>
        <v/>
      </c>
      <c r="V64" s="46" t="n"/>
      <c r="W64" s="47">
        <f>IF(V64="","",IFERROR(V64/M14,""))</f>
        <v/>
      </c>
      <c r="X64" s="46" t="n"/>
      <c r="Y64" s="47">
        <f>IF(X64="","",IFERROR(X64/N14,""))</f>
        <v/>
      </c>
      <c r="AA64" s="48">
        <f>SUM(D64,F64,H64,J64,L64,N64,P64,R64,T64,V64,X64)</f>
        <v/>
      </c>
    </row>
    <row r="65">
      <c r="B65" s="19">
        <f>B15</f>
        <v/>
      </c>
      <c r="C65" s="20">
        <f>C15</f>
        <v/>
      </c>
      <c r="D65" s="49" t="n"/>
      <c r="E65" s="50">
        <f>IF(D65="","",IFERROR(D65/D15,""))</f>
        <v/>
      </c>
      <c r="F65" s="49" t="n"/>
      <c r="G65" s="50">
        <f>IF(F65="","",IFERROR(F65/E15,""))</f>
        <v/>
      </c>
      <c r="H65" s="49" t="n"/>
      <c r="I65" s="50">
        <f>IF(H65="","",IFERROR(H65/F15,""))</f>
        <v/>
      </c>
      <c r="J65" s="49" t="n"/>
      <c r="K65" s="50">
        <f>IF(J65="","",IFERROR(J65/G15,""))</f>
        <v/>
      </c>
      <c r="L65" s="49" t="n"/>
      <c r="M65" s="50">
        <f>IF(L65="","",IFERROR(L65/H15,""))</f>
        <v/>
      </c>
      <c r="N65" s="49" t="n"/>
      <c r="O65" s="50">
        <f>IF(N65="","",IFERROR(N65/I15,""))</f>
        <v/>
      </c>
      <c r="P65" s="49" t="n"/>
      <c r="Q65" s="50">
        <f>IF(P65="","",IFERROR(P65/J15,""))</f>
        <v/>
      </c>
      <c r="R65" s="49" t="n"/>
      <c r="S65" s="50">
        <f>IF(R65="","",IFERROR(R65/K15,""))</f>
        <v/>
      </c>
      <c r="T65" s="49" t="n"/>
      <c r="U65" s="50">
        <f>IF(T65="","",IFERROR(T65/L15,""))</f>
        <v/>
      </c>
      <c r="V65" s="49" t="n"/>
      <c r="W65" s="50">
        <f>IF(V65="","",IFERROR(V65/M15,""))</f>
        <v/>
      </c>
      <c r="X65" s="49" t="n"/>
      <c r="Y65" s="50">
        <f>IF(X65="","",IFERROR(X65/N15,""))</f>
        <v/>
      </c>
      <c r="AA65" s="51">
        <f>SUM(D65,F65,H65,J65,L65,N65,P65,R65,T65,V65,X65)</f>
        <v/>
      </c>
    </row>
    <row r="66">
      <c r="B66" s="15">
        <f>B16</f>
        <v/>
      </c>
      <c r="C66" s="16">
        <f>C16</f>
        <v/>
      </c>
      <c r="D66" s="46" t="n"/>
      <c r="E66" s="47">
        <f>IF(D66="","",IFERROR(D66/D16,""))</f>
        <v/>
      </c>
      <c r="F66" s="46" t="n"/>
      <c r="G66" s="47">
        <f>IF(F66="","",IFERROR(F66/E16,""))</f>
        <v/>
      </c>
      <c r="H66" s="46" t="n"/>
      <c r="I66" s="47">
        <f>IF(H66="","",IFERROR(H66/F16,""))</f>
        <v/>
      </c>
      <c r="J66" s="46" t="n"/>
      <c r="K66" s="47">
        <f>IF(J66="","",IFERROR(J66/G16,""))</f>
        <v/>
      </c>
      <c r="L66" s="46" t="n"/>
      <c r="M66" s="47">
        <f>IF(L66="","",IFERROR(L66/H16,""))</f>
        <v/>
      </c>
      <c r="N66" s="46" t="n"/>
      <c r="O66" s="47">
        <f>IF(N66="","",IFERROR(N66/I16,""))</f>
        <v/>
      </c>
      <c r="P66" s="46" t="n"/>
      <c r="Q66" s="47">
        <f>IF(P66="","",IFERROR(P66/J16,""))</f>
        <v/>
      </c>
      <c r="R66" s="46" t="n"/>
      <c r="S66" s="47">
        <f>IF(R66="","",IFERROR(R66/K16,""))</f>
        <v/>
      </c>
      <c r="T66" s="46" t="n"/>
      <c r="U66" s="47">
        <f>IF(T66="","",IFERROR(T66/L16,""))</f>
        <v/>
      </c>
      <c r="V66" s="46" t="n"/>
      <c r="W66" s="47">
        <f>IF(V66="","",IFERROR(V66/M16,""))</f>
        <v/>
      </c>
      <c r="X66" s="46" t="n"/>
      <c r="Y66" s="47">
        <f>IF(X66="","",IFERROR(X66/N16,""))</f>
        <v/>
      </c>
      <c r="AA66" s="48">
        <f>SUM(D66,F66,H66,J66,L66,N66,P66,R66,T66,V66,X66)</f>
        <v/>
      </c>
    </row>
    <row r="67">
      <c r="B67" s="19">
        <f>B17</f>
        <v/>
      </c>
      <c r="C67" s="20">
        <f>C17</f>
        <v/>
      </c>
      <c r="D67" s="49" t="n"/>
      <c r="E67" s="50">
        <f>IF(D67="","",IFERROR(D67/D17,""))</f>
        <v/>
      </c>
      <c r="F67" s="49" t="n"/>
      <c r="G67" s="50">
        <f>IF(F67="","",IFERROR(F67/E17,""))</f>
        <v/>
      </c>
      <c r="H67" s="49" t="n"/>
      <c r="I67" s="50">
        <f>IF(H67="","",IFERROR(H67/F17,""))</f>
        <v/>
      </c>
      <c r="J67" s="49" t="n"/>
      <c r="K67" s="50">
        <f>IF(J67="","",IFERROR(J67/G17,""))</f>
        <v/>
      </c>
      <c r="L67" s="49" t="n"/>
      <c r="M67" s="50">
        <f>IF(L67="","",IFERROR(L67/H17,""))</f>
        <v/>
      </c>
      <c r="N67" s="49" t="n"/>
      <c r="O67" s="50">
        <f>IF(N67="","",IFERROR(N67/I17,""))</f>
        <v/>
      </c>
      <c r="P67" s="49" t="n"/>
      <c r="Q67" s="50">
        <f>IF(P67="","",IFERROR(P67/J17,""))</f>
        <v/>
      </c>
      <c r="R67" s="49" t="n"/>
      <c r="S67" s="50">
        <f>IF(R67="","",IFERROR(R67/K17,""))</f>
        <v/>
      </c>
      <c r="T67" s="49" t="n"/>
      <c r="U67" s="50">
        <f>IF(T67="","",IFERROR(T67/L17,""))</f>
        <v/>
      </c>
      <c r="V67" s="49" t="n"/>
      <c r="W67" s="50">
        <f>IF(V67="","",IFERROR(V67/M17,""))</f>
        <v/>
      </c>
      <c r="X67" s="49" t="n"/>
      <c r="Y67" s="50">
        <f>IF(X67="","",IFERROR(X67/N17,""))</f>
        <v/>
      </c>
      <c r="AA67" s="51">
        <f>SUM(D67,F67,H67,J67,L67,N67,P67,R67,T67,V67,X67)</f>
        <v/>
      </c>
    </row>
    <row r="68">
      <c r="B68" s="15">
        <f>B18</f>
        <v/>
      </c>
      <c r="C68" s="16">
        <f>C18</f>
        <v/>
      </c>
      <c r="D68" s="46" t="n"/>
      <c r="E68" s="47">
        <f>IF(D68="","",IFERROR(D68/D18,""))</f>
        <v/>
      </c>
      <c r="F68" s="46" t="n"/>
      <c r="G68" s="47">
        <f>IF(F68="","",IFERROR(F68/E18,""))</f>
        <v/>
      </c>
      <c r="H68" s="46" t="n"/>
      <c r="I68" s="47">
        <f>IF(H68="","",IFERROR(H68/F18,""))</f>
        <v/>
      </c>
      <c r="J68" s="46" t="n"/>
      <c r="K68" s="47">
        <f>IF(J68="","",IFERROR(J68/G18,""))</f>
        <v/>
      </c>
      <c r="L68" s="46" t="n"/>
      <c r="M68" s="47">
        <f>IF(L68="","",IFERROR(L68/H18,""))</f>
        <v/>
      </c>
      <c r="N68" s="46" t="n"/>
      <c r="O68" s="47">
        <f>IF(N68="","",IFERROR(N68/I18,""))</f>
        <v/>
      </c>
      <c r="P68" s="46" t="n"/>
      <c r="Q68" s="47">
        <f>IF(P68="","",IFERROR(P68/J18,""))</f>
        <v/>
      </c>
      <c r="R68" s="46" t="n"/>
      <c r="S68" s="47">
        <f>IF(R68="","",IFERROR(R68/K18,""))</f>
        <v/>
      </c>
      <c r="T68" s="46" t="n"/>
      <c r="U68" s="47">
        <f>IF(T68="","",IFERROR(T68/L18,""))</f>
        <v/>
      </c>
      <c r="V68" s="46" t="n"/>
      <c r="W68" s="47">
        <f>IF(V68="","",IFERROR(V68/M18,""))</f>
        <v/>
      </c>
      <c r="X68" s="46" t="n"/>
      <c r="Y68" s="47">
        <f>IF(X68="","",IFERROR(X68/N18,""))</f>
        <v/>
      </c>
      <c r="AA68" s="48">
        <f>SUM(D68,F68,H68,J68,L68,N68,P68,R68,T68,V68,X68)</f>
        <v/>
      </c>
    </row>
    <row r="69">
      <c r="B69" s="19">
        <f>B19</f>
        <v/>
      </c>
      <c r="C69" s="20">
        <f>C19</f>
        <v/>
      </c>
      <c r="D69" s="49" t="n"/>
      <c r="E69" s="50">
        <f>IF(D69="","",IFERROR(D69/D19,""))</f>
        <v/>
      </c>
      <c r="F69" s="49" t="n"/>
      <c r="G69" s="50">
        <f>IF(F69="","",IFERROR(F69/E19,""))</f>
        <v/>
      </c>
      <c r="H69" s="49" t="n"/>
      <c r="I69" s="50">
        <f>IF(H69="","",IFERROR(H69/F19,""))</f>
        <v/>
      </c>
      <c r="J69" s="49" t="n"/>
      <c r="K69" s="50">
        <f>IF(J69="","",IFERROR(J69/G19,""))</f>
        <v/>
      </c>
      <c r="L69" s="49" t="n"/>
      <c r="M69" s="50">
        <f>IF(L69="","",IFERROR(L69/H19,""))</f>
        <v/>
      </c>
      <c r="N69" s="49" t="n"/>
      <c r="O69" s="50">
        <f>IF(N69="","",IFERROR(N69/I19,""))</f>
        <v/>
      </c>
      <c r="P69" s="49" t="n"/>
      <c r="Q69" s="50">
        <f>IF(P69="","",IFERROR(P69/J19,""))</f>
        <v/>
      </c>
      <c r="R69" s="49" t="n"/>
      <c r="S69" s="50">
        <f>IF(R69="","",IFERROR(R69/K19,""))</f>
        <v/>
      </c>
      <c r="T69" s="49" t="n"/>
      <c r="U69" s="50">
        <f>IF(T69="","",IFERROR(T69/L19,""))</f>
        <v/>
      </c>
      <c r="V69" s="49" t="n"/>
      <c r="W69" s="50">
        <f>IF(V69="","",IFERROR(V69/M19,""))</f>
        <v/>
      </c>
      <c r="X69" s="49" t="n"/>
      <c r="Y69" s="50">
        <f>IF(X69="","",IFERROR(X69/N19,""))</f>
        <v/>
      </c>
      <c r="AA69" s="51">
        <f>SUM(D69,F69,H69,J69,L69,N69,P69,R69,T69,V69,X69)</f>
        <v/>
      </c>
    </row>
    <row r="70">
      <c r="B70" s="15">
        <f>B20</f>
        <v/>
      </c>
      <c r="C70" s="16">
        <f>C20</f>
        <v/>
      </c>
      <c r="D70" s="46" t="n"/>
      <c r="E70" s="47">
        <f>IF(D70="","",IFERROR(D70/D20,""))</f>
        <v/>
      </c>
      <c r="F70" s="46" t="n"/>
      <c r="G70" s="47">
        <f>IF(F70="","",IFERROR(F70/E20,""))</f>
        <v/>
      </c>
      <c r="H70" s="46" t="n"/>
      <c r="I70" s="47">
        <f>IF(H70="","",IFERROR(H70/F20,""))</f>
        <v/>
      </c>
      <c r="J70" s="46" t="n"/>
      <c r="K70" s="47">
        <f>IF(J70="","",IFERROR(J70/G20,""))</f>
        <v/>
      </c>
      <c r="L70" s="46" t="n"/>
      <c r="M70" s="47">
        <f>IF(L70="","",IFERROR(L70/H20,""))</f>
        <v/>
      </c>
      <c r="N70" s="46" t="n"/>
      <c r="O70" s="47">
        <f>IF(N70="","",IFERROR(N70/I20,""))</f>
        <v/>
      </c>
      <c r="P70" s="46" t="n"/>
      <c r="Q70" s="47">
        <f>IF(P70="","",IFERROR(P70/J20,""))</f>
        <v/>
      </c>
      <c r="R70" s="46" t="n"/>
      <c r="S70" s="47">
        <f>IF(R70="","",IFERROR(R70/K20,""))</f>
        <v/>
      </c>
      <c r="T70" s="46" t="n"/>
      <c r="U70" s="47">
        <f>IF(T70="","",IFERROR(T70/L20,""))</f>
        <v/>
      </c>
      <c r="V70" s="46" t="n"/>
      <c r="W70" s="47">
        <f>IF(V70="","",IFERROR(V70/M20,""))</f>
        <v/>
      </c>
      <c r="X70" s="46" t="n"/>
      <c r="Y70" s="47">
        <f>IF(X70="","",IFERROR(X70/N20,""))</f>
        <v/>
      </c>
      <c r="AA70" s="48">
        <f>SUM(D70,F70,H70,J70,L70,N70,P70,R70,T70,V70,X70)</f>
        <v/>
      </c>
    </row>
    <row r="71">
      <c r="B71" s="19">
        <f>B21</f>
        <v/>
      </c>
      <c r="C71" s="20">
        <f>C21</f>
        <v/>
      </c>
      <c r="D71" s="49" t="n"/>
      <c r="E71" s="50">
        <f>IF(D71="","",IFERROR(D71/D21,""))</f>
        <v/>
      </c>
      <c r="F71" s="49" t="n"/>
      <c r="G71" s="50">
        <f>IF(F71="","",IFERROR(F71/E21,""))</f>
        <v/>
      </c>
      <c r="H71" s="49" t="n"/>
      <c r="I71" s="50">
        <f>IF(H71="","",IFERROR(H71/F21,""))</f>
        <v/>
      </c>
      <c r="J71" s="49" t="n"/>
      <c r="K71" s="50">
        <f>IF(J71="","",IFERROR(J71/G21,""))</f>
        <v/>
      </c>
      <c r="L71" s="49" t="n"/>
      <c r="M71" s="50">
        <f>IF(L71="","",IFERROR(L71/H21,""))</f>
        <v/>
      </c>
      <c r="N71" s="49" t="n"/>
      <c r="O71" s="50">
        <f>IF(N71="","",IFERROR(N71/I21,""))</f>
        <v/>
      </c>
      <c r="P71" s="49" t="n"/>
      <c r="Q71" s="50">
        <f>IF(P71="","",IFERROR(P71/J21,""))</f>
        <v/>
      </c>
      <c r="R71" s="49" t="n"/>
      <c r="S71" s="50">
        <f>IF(R71="","",IFERROR(R71/K21,""))</f>
        <v/>
      </c>
      <c r="T71" s="49" t="n"/>
      <c r="U71" s="50">
        <f>IF(T71="","",IFERROR(T71/L21,""))</f>
        <v/>
      </c>
      <c r="V71" s="49" t="n"/>
      <c r="W71" s="50">
        <f>IF(V71="","",IFERROR(V71/M21,""))</f>
        <v/>
      </c>
      <c r="X71" s="49" t="n"/>
      <c r="Y71" s="50">
        <f>IF(X71="","",IFERROR(X71/N21,""))</f>
        <v/>
      </c>
      <c r="AA71" s="51">
        <f>SUM(D71,F71,H71,J71,L71,N71,P71,R71,T71,V71,X71)</f>
        <v/>
      </c>
    </row>
    <row r="72">
      <c r="B72" s="15">
        <f>B22</f>
        <v/>
      </c>
      <c r="C72" s="16">
        <f>C22</f>
        <v/>
      </c>
      <c r="D72" s="46" t="n"/>
      <c r="E72" s="47">
        <f>IF(D72="","",IFERROR(D72/D22,""))</f>
        <v/>
      </c>
      <c r="F72" s="46" t="n"/>
      <c r="G72" s="47">
        <f>IF(F72="","",IFERROR(F72/E22,""))</f>
        <v/>
      </c>
      <c r="H72" s="46" t="n"/>
      <c r="I72" s="47">
        <f>IF(H72="","",IFERROR(H72/F22,""))</f>
        <v/>
      </c>
      <c r="J72" s="46" t="n"/>
      <c r="K72" s="47">
        <f>IF(J72="","",IFERROR(J72/G22,""))</f>
        <v/>
      </c>
      <c r="L72" s="46" t="n"/>
      <c r="M72" s="47">
        <f>IF(L72="","",IFERROR(L72/H22,""))</f>
        <v/>
      </c>
      <c r="N72" s="46" t="n"/>
      <c r="O72" s="47">
        <f>IF(N72="","",IFERROR(N72/I22,""))</f>
        <v/>
      </c>
      <c r="P72" s="46" t="n"/>
      <c r="Q72" s="47">
        <f>IF(P72="","",IFERROR(P72/J22,""))</f>
        <v/>
      </c>
      <c r="R72" s="46" t="n"/>
      <c r="S72" s="47">
        <f>IF(R72="","",IFERROR(R72/K22,""))</f>
        <v/>
      </c>
      <c r="T72" s="46" t="n"/>
      <c r="U72" s="47">
        <f>IF(T72="","",IFERROR(T72/L22,""))</f>
        <v/>
      </c>
      <c r="V72" s="46" t="n"/>
      <c r="W72" s="47">
        <f>IF(V72="","",IFERROR(V72/M22,""))</f>
        <v/>
      </c>
      <c r="X72" s="46" t="n"/>
      <c r="Y72" s="47">
        <f>IF(X72="","",IFERROR(X72/N22,""))</f>
        <v/>
      </c>
      <c r="AA72" s="48">
        <f>SUM(D72,F72,H72,J72,L72,N72,P72,R72,T72,V72,X72)</f>
        <v/>
      </c>
    </row>
    <row r="73">
      <c r="B73" s="19">
        <f>B23</f>
        <v/>
      </c>
      <c r="C73" s="20">
        <f>C23</f>
        <v/>
      </c>
      <c r="D73" s="49" t="n"/>
      <c r="E73" s="50">
        <f>IF(D73="","",IFERROR(D73/D23,""))</f>
        <v/>
      </c>
      <c r="F73" s="49" t="n"/>
      <c r="G73" s="50">
        <f>IF(F73="","",IFERROR(F73/E23,""))</f>
        <v/>
      </c>
      <c r="H73" s="49" t="n"/>
      <c r="I73" s="50">
        <f>IF(H73="","",IFERROR(H73/F23,""))</f>
        <v/>
      </c>
      <c r="J73" s="49" t="n"/>
      <c r="K73" s="50">
        <f>IF(J73="","",IFERROR(J73/G23,""))</f>
        <v/>
      </c>
      <c r="L73" s="49" t="n"/>
      <c r="M73" s="50">
        <f>IF(L73="","",IFERROR(L73/H23,""))</f>
        <v/>
      </c>
      <c r="N73" s="49" t="n"/>
      <c r="O73" s="50">
        <f>IF(N73="","",IFERROR(N73/I23,""))</f>
        <v/>
      </c>
      <c r="P73" s="49" t="n"/>
      <c r="Q73" s="50">
        <f>IF(P73="","",IFERROR(P73/J23,""))</f>
        <v/>
      </c>
      <c r="R73" s="49" t="n"/>
      <c r="S73" s="50">
        <f>IF(R73="","",IFERROR(R73/K23,""))</f>
        <v/>
      </c>
      <c r="T73" s="49" t="n"/>
      <c r="U73" s="50">
        <f>IF(T73="","",IFERROR(T73/L23,""))</f>
        <v/>
      </c>
      <c r="V73" s="49" t="n"/>
      <c r="W73" s="50">
        <f>IF(V73="","",IFERROR(V73/M23,""))</f>
        <v/>
      </c>
      <c r="X73" s="49" t="n"/>
      <c r="Y73" s="50">
        <f>IF(X73="","",IFERROR(X73/N23,""))</f>
        <v/>
      </c>
      <c r="AA73" s="51">
        <f>SUM(D73,F73,H73,J73,L73,N73,P73,R73,T73,V73,X73)</f>
        <v/>
      </c>
    </row>
    <row r="74">
      <c r="B74" s="15">
        <f>B24</f>
        <v/>
      </c>
      <c r="C74" s="16">
        <f>C24</f>
        <v/>
      </c>
      <c r="D74" s="46" t="n"/>
      <c r="E74" s="47">
        <f>IF(D74="","",IFERROR(D74/D24,""))</f>
        <v/>
      </c>
      <c r="F74" s="46" t="n"/>
      <c r="G74" s="47">
        <f>IF(F74="","",IFERROR(F74/E24,""))</f>
        <v/>
      </c>
      <c r="H74" s="46" t="n"/>
      <c r="I74" s="47">
        <f>IF(H74="","",IFERROR(H74/F24,""))</f>
        <v/>
      </c>
      <c r="J74" s="46" t="n"/>
      <c r="K74" s="47">
        <f>IF(J74="","",IFERROR(J74/G24,""))</f>
        <v/>
      </c>
      <c r="L74" s="46" t="n"/>
      <c r="M74" s="47">
        <f>IF(L74="","",IFERROR(L74/H24,""))</f>
        <v/>
      </c>
      <c r="N74" s="46" t="n"/>
      <c r="O74" s="47">
        <f>IF(N74="","",IFERROR(N74/I24,""))</f>
        <v/>
      </c>
      <c r="P74" s="46" t="n"/>
      <c r="Q74" s="47">
        <f>IF(P74="","",IFERROR(P74/J24,""))</f>
        <v/>
      </c>
      <c r="R74" s="46" t="n"/>
      <c r="S74" s="47">
        <f>IF(R74="","",IFERROR(R74/K24,""))</f>
        <v/>
      </c>
      <c r="T74" s="46" t="n"/>
      <c r="U74" s="47">
        <f>IF(T74="","",IFERROR(T74/L24,""))</f>
        <v/>
      </c>
      <c r="V74" s="46" t="n"/>
      <c r="W74" s="47">
        <f>IF(V74="","",IFERROR(V74/M24,""))</f>
        <v/>
      </c>
      <c r="X74" s="46" t="n"/>
      <c r="Y74" s="47">
        <f>IF(X74="","",IFERROR(X74/N24,""))</f>
        <v/>
      </c>
      <c r="AA74" s="48">
        <f>SUM(D74,F74,H74,J74,L74,N74,P74,R74,T74,V74,X74)</f>
        <v/>
      </c>
    </row>
    <row r="75">
      <c r="B75" s="19">
        <f>B25</f>
        <v/>
      </c>
      <c r="C75" s="20">
        <f>C25</f>
        <v/>
      </c>
      <c r="D75" s="49" t="n"/>
      <c r="E75" s="50">
        <f>IF(D75="","",IFERROR(D75/D25,""))</f>
        <v/>
      </c>
      <c r="F75" s="49" t="n"/>
      <c r="G75" s="50">
        <f>IF(F75="","",IFERROR(F75/E25,""))</f>
        <v/>
      </c>
      <c r="H75" s="49" t="n"/>
      <c r="I75" s="50">
        <f>IF(H75="","",IFERROR(H75/F25,""))</f>
        <v/>
      </c>
      <c r="J75" s="49" t="n"/>
      <c r="K75" s="50">
        <f>IF(J75="","",IFERROR(J75/G25,""))</f>
        <v/>
      </c>
      <c r="L75" s="49" t="n"/>
      <c r="M75" s="50">
        <f>IF(L75="","",IFERROR(L75/H25,""))</f>
        <v/>
      </c>
      <c r="N75" s="49" t="n"/>
      <c r="O75" s="50">
        <f>IF(N75="","",IFERROR(N75/I25,""))</f>
        <v/>
      </c>
      <c r="P75" s="49" t="n"/>
      <c r="Q75" s="50">
        <f>IF(P75="","",IFERROR(P75/J25,""))</f>
        <v/>
      </c>
      <c r="R75" s="49" t="n"/>
      <c r="S75" s="50">
        <f>IF(R75="","",IFERROR(R75/K25,""))</f>
        <v/>
      </c>
      <c r="T75" s="49" t="n"/>
      <c r="U75" s="50">
        <f>IF(T75="","",IFERROR(T75/L25,""))</f>
        <v/>
      </c>
      <c r="V75" s="49" t="n"/>
      <c r="W75" s="50">
        <f>IF(V75="","",IFERROR(V75/M25,""))</f>
        <v/>
      </c>
      <c r="X75" s="49" t="n"/>
      <c r="Y75" s="50">
        <f>IF(X75="","",IFERROR(X75/N25,""))</f>
        <v/>
      </c>
      <c r="AA75" s="51">
        <f>SUM(D75,F75,H75,J75,L75,N75,P75,R75,T75,V75,X75)</f>
        <v/>
      </c>
    </row>
    <row r="76">
      <c r="B76" s="15">
        <f>B26</f>
        <v/>
      </c>
      <c r="C76" s="16">
        <f>C26</f>
        <v/>
      </c>
      <c r="D76" s="46" t="n"/>
      <c r="E76" s="47">
        <f>IF(D76="","",IFERROR(D76/D26,""))</f>
        <v/>
      </c>
      <c r="F76" s="46" t="n"/>
      <c r="G76" s="47">
        <f>IF(F76="","",IFERROR(F76/E26,""))</f>
        <v/>
      </c>
      <c r="H76" s="46" t="n"/>
      <c r="I76" s="47">
        <f>IF(H76="","",IFERROR(H76/F26,""))</f>
        <v/>
      </c>
      <c r="J76" s="46" t="n"/>
      <c r="K76" s="47">
        <f>IF(J76="","",IFERROR(J76/G26,""))</f>
        <v/>
      </c>
      <c r="L76" s="46" t="n"/>
      <c r="M76" s="47">
        <f>IF(L76="","",IFERROR(L76/H26,""))</f>
        <v/>
      </c>
      <c r="N76" s="46" t="n"/>
      <c r="O76" s="47">
        <f>IF(N76="","",IFERROR(N76/I26,""))</f>
        <v/>
      </c>
      <c r="P76" s="46" t="n"/>
      <c r="Q76" s="47">
        <f>IF(P76="","",IFERROR(P76/J26,""))</f>
        <v/>
      </c>
      <c r="R76" s="46" t="n"/>
      <c r="S76" s="47">
        <f>IF(R76="","",IFERROR(R76/K26,""))</f>
        <v/>
      </c>
      <c r="T76" s="46" t="n"/>
      <c r="U76" s="47">
        <f>IF(T76="","",IFERROR(T76/L26,""))</f>
        <v/>
      </c>
      <c r="V76" s="46" t="n"/>
      <c r="W76" s="47">
        <f>IF(V76="","",IFERROR(V76/M26,""))</f>
        <v/>
      </c>
      <c r="X76" s="46" t="n"/>
      <c r="Y76" s="47">
        <f>IF(X76="","",IFERROR(X76/N26,""))</f>
        <v/>
      </c>
      <c r="AA76" s="48">
        <f>SUM(D76,F76,H76,J76,L76,N76,P76,R76,T76,V76,X76)</f>
        <v/>
      </c>
    </row>
    <row r="77">
      <c r="B77" s="19">
        <f>B27</f>
        <v/>
      </c>
      <c r="C77" s="20">
        <f>C27</f>
        <v/>
      </c>
      <c r="D77" s="49" t="n"/>
      <c r="E77" s="50">
        <f>IF(D77="","",IFERROR(D77/D27,""))</f>
        <v/>
      </c>
      <c r="F77" s="49" t="n"/>
      <c r="G77" s="50">
        <f>IF(F77="","",IFERROR(F77/E27,""))</f>
        <v/>
      </c>
      <c r="H77" s="49" t="n"/>
      <c r="I77" s="50">
        <f>IF(H77="","",IFERROR(H77/F27,""))</f>
        <v/>
      </c>
      <c r="J77" s="49" t="n"/>
      <c r="K77" s="50">
        <f>IF(J77="","",IFERROR(J77/G27,""))</f>
        <v/>
      </c>
      <c r="L77" s="49" t="n"/>
      <c r="M77" s="50">
        <f>IF(L77="","",IFERROR(L77/H27,""))</f>
        <v/>
      </c>
      <c r="N77" s="49" t="n"/>
      <c r="O77" s="50">
        <f>IF(N77="","",IFERROR(N77/I27,""))</f>
        <v/>
      </c>
      <c r="P77" s="49" t="n"/>
      <c r="Q77" s="50">
        <f>IF(P77="","",IFERROR(P77/J27,""))</f>
        <v/>
      </c>
      <c r="R77" s="49" t="n"/>
      <c r="S77" s="50">
        <f>IF(R77="","",IFERROR(R77/K27,""))</f>
        <v/>
      </c>
      <c r="T77" s="49" t="n"/>
      <c r="U77" s="50">
        <f>IF(T77="","",IFERROR(T77/L27,""))</f>
        <v/>
      </c>
      <c r="V77" s="49" t="n"/>
      <c r="W77" s="50">
        <f>IF(V77="","",IFERROR(V77/M27,""))</f>
        <v/>
      </c>
      <c r="X77" s="49" t="n"/>
      <c r="Y77" s="50">
        <f>IF(X77="","",IFERROR(X77/N27,""))</f>
        <v/>
      </c>
      <c r="AA77" s="51">
        <f>SUM(D77,F77,H77,J77,L77,N77,P77,R77,T77,V77,X77)</f>
        <v/>
      </c>
    </row>
    <row r="78">
      <c r="B78" s="15">
        <f>B28</f>
        <v/>
      </c>
      <c r="C78" s="16">
        <f>C28</f>
        <v/>
      </c>
      <c r="D78" s="46" t="n"/>
      <c r="E78" s="47">
        <f>IF(D78="","",IFERROR(D78/D28,""))</f>
        <v/>
      </c>
      <c r="F78" s="46" t="n"/>
      <c r="G78" s="47">
        <f>IF(F78="","",IFERROR(F78/E28,""))</f>
        <v/>
      </c>
      <c r="H78" s="46" t="n"/>
      <c r="I78" s="47">
        <f>IF(H78="","",IFERROR(H78/F28,""))</f>
        <v/>
      </c>
      <c r="J78" s="46" t="n"/>
      <c r="K78" s="47">
        <f>IF(J78="","",IFERROR(J78/G28,""))</f>
        <v/>
      </c>
      <c r="L78" s="46" t="n"/>
      <c r="M78" s="47">
        <f>IF(L78="","",IFERROR(L78/H28,""))</f>
        <v/>
      </c>
      <c r="N78" s="46" t="n"/>
      <c r="O78" s="47">
        <f>IF(N78="","",IFERROR(N78/I28,""))</f>
        <v/>
      </c>
      <c r="P78" s="46" t="n"/>
      <c r="Q78" s="47">
        <f>IF(P78="","",IFERROR(P78/J28,""))</f>
        <v/>
      </c>
      <c r="R78" s="46" t="n"/>
      <c r="S78" s="47">
        <f>IF(R78="","",IFERROR(R78/K28,""))</f>
        <v/>
      </c>
      <c r="T78" s="46" t="n"/>
      <c r="U78" s="47">
        <f>IF(T78="","",IFERROR(T78/L28,""))</f>
        <v/>
      </c>
      <c r="V78" s="46" t="n"/>
      <c r="W78" s="47">
        <f>IF(V78="","",IFERROR(V78/M28,""))</f>
        <v/>
      </c>
      <c r="X78" s="46" t="n"/>
      <c r="Y78" s="47">
        <f>IF(X78="","",IFERROR(X78/N28,""))</f>
        <v/>
      </c>
      <c r="AA78" s="48">
        <f>SUM(D78,F78,H78,J78,L78,N78,P78,R78,T78,V78,X78)</f>
        <v/>
      </c>
    </row>
    <row r="79" ht="20" customHeight="1">
      <c r="B79" s="25" t="inlineStr">
        <is>
          <t>Total</t>
        </is>
      </c>
      <c r="C79" s="27">
        <f>C29</f>
        <v/>
      </c>
      <c r="D79" s="27">
        <f>IF(COUNT(D58:D78)=0,"",SUM(D58:D78))</f>
        <v/>
      </c>
      <c r="E79" s="52">
        <f>IF(D79="","",IFERROR(D79/D29,""))</f>
        <v/>
      </c>
      <c r="F79" s="27">
        <f>IF(COUNT(F58:F78)=0,"",SUM(F58:F78))</f>
        <v/>
      </c>
      <c r="G79" s="52">
        <f>IF(F79="","",IFERROR(F79/E29,""))</f>
        <v/>
      </c>
      <c r="H79" s="27">
        <f>IF(COUNT(H58:H78)=0,"",SUM(H58:H78))</f>
        <v/>
      </c>
      <c r="I79" s="52">
        <f>IF(H79="","",IFERROR(H79/F29,""))</f>
        <v/>
      </c>
      <c r="J79" s="27">
        <f>IF(COUNT(J58:J78)=0,"",SUM(J58:J78))</f>
        <v/>
      </c>
      <c r="K79" s="52">
        <f>IF(J79="","",IFERROR(J79/G29,""))</f>
        <v/>
      </c>
      <c r="L79" s="27">
        <f>IF(COUNT(L58:L78)=0,"",SUM(L58:L78))</f>
        <v/>
      </c>
      <c r="M79" s="52">
        <f>IF(L79="","",IFERROR(L79/H29,""))</f>
        <v/>
      </c>
      <c r="N79" s="27">
        <f>IF(COUNT(N58:N78)=0,"",SUM(N58:N78))</f>
        <v/>
      </c>
      <c r="O79" s="52">
        <f>IF(N79="","",IFERROR(N79/I29,""))</f>
        <v/>
      </c>
      <c r="P79" s="27">
        <f>IF(COUNT(P58:P78)=0,"",SUM(P58:P78))</f>
        <v/>
      </c>
      <c r="Q79" s="52">
        <f>IF(P79="","",IFERROR(P79/J29,""))</f>
        <v/>
      </c>
      <c r="R79" s="27">
        <f>IF(COUNT(R58:R78)=0,"",SUM(R58:R78))</f>
        <v/>
      </c>
      <c r="S79" s="52">
        <f>IF(R79="","",IFERROR(R79/K29,""))</f>
        <v/>
      </c>
      <c r="T79" s="27">
        <f>IF(COUNT(T58:T78)=0,"",SUM(T58:T78))</f>
        <v/>
      </c>
      <c r="U79" s="52">
        <f>IF(T79="","",IFERROR(T79/L29,""))</f>
        <v/>
      </c>
      <c r="V79" s="27">
        <f>IF(COUNT(V58:V78)=0,"",SUM(V58:V78))</f>
        <v/>
      </c>
      <c r="W79" s="52">
        <f>IF(V79="","",IFERROR(V79/M29,""))</f>
        <v/>
      </c>
      <c r="X79" s="27">
        <f>IF(COUNT(X58:X78)=0,"",SUM(X58:X78))</f>
        <v/>
      </c>
      <c r="Y79" s="52">
        <f>IF(X79="","",IFERROR(X79/N29,""))</f>
        <v/>
      </c>
      <c r="Z79" s="53" t="n"/>
      <c r="AA79" s="27">
        <f>SUM(D79,F79,H79,J79,L79,N79,P79,R79,T79,V79,X79)</f>
        <v/>
      </c>
    </row>
    <row r="80">
      <c r="B80" s="29" t="inlineStr">
        <is>
          <t>Cargar el consumo real de cada día. El % compara contra el plan del día: en verde entre 90 % y 110 %, en rosa fuera de ese rango.</t>
        </is>
      </c>
    </row>
  </sheetData>
  <conditionalFormatting sqref="E58:Y79">
    <cfRule type="expression" priority="1" dxfId="0">
      <formula>AND(E$57="%",ISNUMBER(E58),E58&gt;=0.9,E58&lt;=1.1)</formula>
    </cfRule>
    <cfRule type="expression" priority="2" dxfId="1">
      <formula>AND(E$57="%",ISNUMBER(E58),OR(E58&lt;0.9,E58&gt;1.1))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2026-10-22T15:56:00Z</dcterms:created>
  <dcterms:modified xmlns:dcterms="http://purl.org/dc/terms/" xmlns:xsi="http://www.w3.org/2001/XMLSchema-instance" xsi:type="dcterms:W3CDTF">2026-10-22T15:56:00Z</dcterms:modified>
</cp:coreProperties>
</file>