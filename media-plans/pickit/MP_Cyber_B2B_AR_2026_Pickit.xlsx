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 Cyber B2B" sheetId="1" state="visible" r:id="rId1"/>
    <sheet xmlns:r="http://schemas.openxmlformats.org/officeDocument/2006/relationships" name="BGT Diario" sheetId="2" state="visible" r:id="rId2"/>
    <sheet xmlns:r="http://schemas.openxmlformats.org/officeDocument/2006/relationships" name="Audiencias" sheetId="3" state="visible" r:id="rId3"/>
    <sheet xmlns:r="http://schemas.openxmlformats.org/officeDocument/2006/relationships" name="Supues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&quot;$&quot; #,##0"/>
    <numFmt numFmtId="167" formatCode="0.0&quot;x&quot;"/>
    <numFmt numFmtId="168" formatCode="#,##0.0"/>
    <numFmt numFmtId="169" formatCode="ddd dd/mm"/>
  </numFmts>
  <fonts count="17">
    <font>
      <name val="Calibri"/>
      <family val="2"/>
      <color theme="1"/>
      <sz val="11"/>
      <scheme val="minor"/>
    </font>
    <font>
      <name val="Calibri"/>
      <b val="1"/>
      <color rgb="002FA37A"/>
      <sz val="12"/>
    </font>
    <font>
      <name val="Calibri"/>
      <b val="1"/>
      <color rgb="000A0A0B"/>
      <sz val="18"/>
    </font>
    <font>
      <name val="Calibri"/>
      <b val="1"/>
      <color rgb="00FFFFFF"/>
      <sz val="12"/>
    </font>
    <font>
      <name val="Calibri"/>
      <b val="1"/>
      <color rgb="000A0A0B"/>
      <sz val="10"/>
    </font>
    <font>
      <name val="Calibri"/>
      <color rgb="001155CC"/>
      <sz val="10"/>
    </font>
    <font>
      <name val="Calibri"/>
      <color rgb="000A0A0B"/>
      <sz val="10"/>
    </font>
    <font>
      <name val="Calibri"/>
      <b val="1"/>
      <color rgb="002FA37A"/>
      <sz val="10"/>
    </font>
    <font>
      <name val="Calibri"/>
      <i val="1"/>
      <color rgb="006B6B6E"/>
      <sz val="9"/>
    </font>
    <font>
      <name val="Calibri"/>
      <b val="1"/>
      <color rgb="000A0A0B"/>
      <sz val="11"/>
    </font>
    <font>
      <name val="Calibri"/>
      <b val="1"/>
      <color rgb="00FFFFFF"/>
      <sz val="9"/>
    </font>
    <font>
      <name val="Calibri"/>
      <color rgb="006B6B6E"/>
      <sz val="10"/>
    </font>
    <font>
      <name val="Calibri"/>
      <b val="1"/>
      <color rgb="006B6B6E"/>
      <sz val="10"/>
    </font>
    <font>
      <name val="Calibri"/>
      <b val="1"/>
      <color rgb="006B6B6E"/>
      <sz val="9"/>
    </font>
    <font>
      <name val="Calibri"/>
      <b val="1"/>
      <color rgb="000A0A0B"/>
      <sz val="20"/>
    </font>
    <font>
      <name val="Calibri"/>
      <color rgb="006B6B6E"/>
      <sz val="9"/>
    </font>
    <font>
      <name val="Calibri"/>
      <color rgb="002FA37A"/>
      <sz val="10"/>
    </font>
  </fonts>
  <fills count="11">
    <fill>
      <patternFill/>
    </fill>
    <fill>
      <patternFill patternType="gray125"/>
    </fill>
    <fill>
      <patternFill patternType="solid">
        <fgColor rgb="000A0A0B"/>
      </patternFill>
    </fill>
    <fill>
      <patternFill patternType="solid">
        <fgColor rgb="0059D7A2"/>
      </patternFill>
    </fill>
    <fill>
      <patternFill patternType="solid">
        <fgColor rgb="00EAF7FB"/>
      </patternFill>
    </fill>
    <fill>
      <patternFill patternType="solid">
        <fgColor rgb="00EAF9F3"/>
      </patternFill>
    </fill>
    <fill>
      <patternFill patternType="solid">
        <fgColor rgb="00F7F7F8"/>
      </patternFill>
    </fill>
    <fill>
      <patternFill patternType="solid">
        <fgColor rgb="0095D6EA"/>
      </patternFill>
    </fill>
    <fill>
      <patternFill patternType="solid">
        <fgColor rgb="002FA37A"/>
      </patternFill>
    </fill>
    <fill>
      <patternFill patternType="solid">
        <fgColor rgb="00E71CA2"/>
      </patternFill>
    </fill>
    <fill>
      <patternFill patternType="solid">
        <fgColor rgb="00FDEAF5"/>
      </patternFill>
    </fill>
  </fills>
  <borders count="7">
    <border>
      <left/>
      <right/>
      <top/>
      <bottom/>
      <diagonal/>
    </border>
    <border>
      <left style="thin">
        <color rgb="00E3E3E5"/>
      </left>
      <right style="thin">
        <color rgb="00E3E3E5"/>
      </right>
      <top style="thin">
        <color rgb="00E3E3E5"/>
      </top>
      <bottom style="thin">
        <color rgb="00E3E3E5"/>
      </bottom>
    </border>
    <border>
      <left style="thin">
        <color rgb="00E3E3E5"/>
      </left>
      <right style="thin">
        <color rgb="00E3E3E5"/>
      </right>
      <top style="medium">
        <color rgb="0059D7A2"/>
      </top>
      <bottom style="thin">
        <color rgb="00E3E3E5"/>
      </bottom>
    </border>
    <border>
      <left/>
      <right/>
      <top style="thin">
        <color rgb="00E3E3E5"/>
      </top>
      <bottom/>
      <diagonal/>
    </border>
    <border>
      <left/>
      <right style="thin">
        <color rgb="00E3E3E5"/>
      </right>
      <top style="thin">
        <color rgb="00E3E3E5"/>
      </top>
      <bottom/>
      <diagonal/>
    </border>
    <border>
      <left/>
      <right/>
      <top style="thin">
        <color rgb="00E3E3E5"/>
      </top>
      <bottom style="thin">
        <color rgb="00E3E3E5"/>
      </bottom>
      <diagonal/>
    </border>
    <border>
      <left/>
      <right style="thin">
        <color rgb="00E3E3E5"/>
      </right>
      <top style="thin">
        <color rgb="00E3E3E5"/>
      </top>
      <bottom style="thin">
        <color rgb="00E3E3E5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13" fillId="4" borderId="0" applyAlignment="1" pivotButton="0" quotePrefix="0" xfId="0">
      <alignment horizontal="left" vertical="center" indent="1"/>
    </xf>
    <xf numFmtId="0" fontId="13" fillId="5" borderId="0" applyAlignment="1" pivotButton="0" quotePrefix="0" xfId="0">
      <alignment horizontal="left" vertical="center" indent="1"/>
    </xf>
    <xf numFmtId="0" fontId="13" fillId="10" borderId="0" applyAlignment="1" pivotButton="0" quotePrefix="0" xfId="0">
      <alignment horizontal="left" vertical="center" indent="1"/>
    </xf>
    <xf numFmtId="0" fontId="14" fillId="4" borderId="0" applyAlignment="1" pivotButton="0" quotePrefix="0" xfId="0">
      <alignment horizontal="left" vertical="center" indent="1"/>
    </xf>
    <xf numFmtId="166" fontId="14" fillId="5" borderId="0" applyAlignment="1" pivotButton="0" quotePrefix="0" xfId="0">
      <alignment horizontal="left" vertical="center" indent="1"/>
    </xf>
    <xf numFmtId="166" fontId="14" fillId="10" borderId="0" applyAlignment="1" pivotButton="0" quotePrefix="0" xfId="0">
      <alignment horizontal="left" vertical="center" indent="1"/>
    </xf>
    <xf numFmtId="3" fontId="14" fillId="5" borderId="0" applyAlignment="1" pivotButton="0" quotePrefix="0" xfId="0">
      <alignment horizontal="left" vertical="center" indent="1"/>
    </xf>
    <xf numFmtId="3" fontId="14" fillId="4" borderId="0" applyAlignment="1" pivotButton="0" quotePrefix="0" xfId="0">
      <alignment horizontal="left" vertical="center" indent="1"/>
    </xf>
    <xf numFmtId="0" fontId="15" fillId="4" borderId="0" applyAlignment="1" pivotButton="0" quotePrefix="0" xfId="0">
      <alignment horizontal="left" vertical="center" indent="1"/>
    </xf>
    <xf numFmtId="0" fontId="15" fillId="5" borderId="0" applyAlignment="1" pivotButton="0" quotePrefix="0" xfId="0">
      <alignment horizontal="left" vertical="center" indent="1"/>
    </xf>
    <xf numFmtId="0" fontId="15" fillId="10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indent="1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9" fontId="16" fillId="0" borderId="1" applyAlignment="1" pivotButton="0" quotePrefix="0" xfId="0">
      <alignment horizontal="right" vertical="center"/>
    </xf>
    <xf numFmtId="9" fontId="6" fillId="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indent="1"/>
    </xf>
    <xf numFmtId="3" fontId="6" fillId="6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9" fontId="16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9" fontId="6" fillId="6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0" fontId="6" fillId="6" borderId="1" applyAlignment="1" pivotButton="0" quotePrefix="0" xfId="0">
      <alignment horizontal="right" vertical="center"/>
    </xf>
    <xf numFmtId="10" fontId="4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indent="1"/>
    </xf>
    <xf numFmtId="166" fontId="7" fillId="5" borderId="1" applyAlignment="1" pivotButton="0" quotePrefix="0" xfId="0">
      <alignment horizontal="right" vertical="center"/>
    </xf>
    <xf numFmtId="9" fontId="4" fillId="5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indent="1"/>
    </xf>
    <xf numFmtId="168" fontId="6" fillId="6" borderId="1" applyAlignment="1" pivotButton="0" quotePrefix="0" xfId="0">
      <alignment horizontal="right" vertical="center"/>
    </xf>
    <xf numFmtId="168" fontId="4" fillId="6" borderId="1" applyAlignment="1" pivotButton="0" quotePrefix="0" xfId="0">
      <alignment horizontal="right" vertical="center"/>
    </xf>
    <xf numFmtId="168" fontId="6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66" fontId="16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indent="1"/>
    </xf>
    <xf numFmtId="166" fontId="4" fillId="6" borderId="1" applyAlignment="1" pivotButton="0" quotePrefix="0" xfId="0">
      <alignment horizontal="right" vertical="center"/>
    </xf>
    <xf numFmtId="166" fontId="16" fillId="6" borderId="1" applyAlignment="1" pivotButton="0" quotePrefix="0" xfId="0">
      <alignment horizontal="right" vertical="center"/>
    </xf>
    <xf numFmtId="167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10" fillId="2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0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9" fontId="5" fillId="4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indent="1"/>
    </xf>
    <xf numFmtId="0" fontId="12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9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right" vertical="center"/>
    </xf>
    <xf numFmtId="168" fontId="4" fillId="4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 indent="1"/>
    </xf>
    <xf numFmtId="0" fontId="11" fillId="6" borderId="1" applyAlignment="1" pivotButton="0" quotePrefix="0" xfId="0">
      <alignment horizontal="right" vertical="center"/>
    </xf>
    <xf numFmtId="0" fontId="0" fillId="5" borderId="2" pivotButton="0" quotePrefix="0" xfId="0"/>
    <xf numFmtId="166" fontId="4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68" fontId="4" fillId="5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169" fontId="4" fillId="3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right" vertical="center"/>
    </xf>
    <xf numFmtId="9" fontId="4" fillId="6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left" vertical="center" indent="1"/>
    </xf>
    <xf numFmtId="168" fontId="5" fillId="4" borderId="1" applyAlignment="1" pivotButton="0" quotePrefix="0" xfId="0">
      <alignment horizontal="right" vertical="center"/>
    </xf>
    <xf numFmtId="169" fontId="6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b val="1"/>
        <color rgb="002FA37A"/>
      </font>
    </dxf>
    <dxf>
      <font>
        <b val="1"/>
        <color rgb="00E71CA2"/>
      </font>
    </dxf>
    <dxf>
      <font>
        <b val="1"/>
        <color rgb="002FA37A"/>
      </font>
      <fill>
        <patternFill patternType="solid">
          <fgColor rgb="00EAF9F3"/>
        </patternFill>
      </fill>
    </dxf>
    <dxf>
      <font>
        <b val="1"/>
        <color rgb="00FFFFFF"/>
      </font>
      <fill>
        <patternFill patternType="solid">
          <fgColor rgb="00E71CA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9D7A2"/>
    <outlinePr summaryBelow="1" summaryRight="1"/>
    <pageSetUpPr fitToPage="1"/>
  </sheetPr>
  <dimension ref="B2:P60"/>
  <sheetViews>
    <sheetView showGridLines="0" workbookViewId="0">
      <pane xSplit="2" topLeftCell="C1" activePane="topRight" state="frozen"/>
      <selection pane="topRight" activeCell="A1" sqref="A1"/>
    </sheetView>
  </sheetViews>
  <sheetFormatPr baseColWidth="8" defaultRowHeight="15"/>
  <cols>
    <col width="2.6" customWidth="1" min="1" max="1"/>
    <col width="38" customWidth="1" min="2" max="2"/>
    <col width="26" customWidth="1" min="3" max="3"/>
    <col width="12" customWidth="1" min="4" max="4"/>
    <col width="13" customWidth="1" min="5" max="5"/>
    <col width="28" customWidth="1" min="6" max="6"/>
    <col width="7" customWidth="1" min="7" max="7"/>
    <col width="13" customWidth="1" min="8" max="8"/>
    <col width="12" customWidth="1" min="9" max="9"/>
    <col width="12" customWidth="1" min="10" max="10"/>
    <col width="13" customWidth="1" min="11" max="11"/>
    <col width="9" customWidth="1" min="12" max="12"/>
    <col width="10" customWidth="1" min="13" max="13"/>
    <col width="10" customWidth="1" min="14" max="14"/>
    <col width="12" customWidth="1" min="15" max="15"/>
    <col width="12" customWidth="1" min="16" max="16"/>
  </cols>
  <sheetData>
    <row r="2">
      <c r="B2" s="1" t="inlineStr">
        <is>
          <t>zenda.</t>
        </is>
      </c>
    </row>
    <row r="3" ht="28" customHeight="1">
      <c r="B3" s="2" t="inlineStr">
        <is>
          <t>pickit  |  Media Plan Cyber Monday B2B · Argentina 2026</t>
        </is>
      </c>
    </row>
    <row r="5" ht="18" customHeight="1">
      <c r="B5" s="3" t="inlineStr">
        <is>
          <t>FLIGHT</t>
        </is>
      </c>
      <c r="C5" s="4" t="inlineStr">
        <is>
          <t>INVERSIÓN CONSERVADOR</t>
        </is>
      </c>
      <c r="F5" s="5" t="inlineStr">
        <is>
          <t>INVERSIÓN ARRIESGADO</t>
        </is>
      </c>
      <c r="I5" s="4" t="inlineStr">
        <is>
          <t>IMPRESIONES</t>
        </is>
      </c>
      <c r="M5" s="3" t="inlineStr">
        <is>
          <t>ALCANCE LINKEDIN</t>
        </is>
      </c>
    </row>
    <row r="6" ht="32" customHeight="1">
      <c r="B6" s="6">
        <f>TEXT(Supuestos!$C$10,"dd/mm")&amp;" al "&amp;TEXT(Supuestos!$D$10,"dd/mm")</f>
        <v/>
      </c>
      <c r="C6" s="7">
        <f>H39</f>
        <v/>
      </c>
      <c r="F6" s="8">
        <f>H49</f>
        <v/>
      </c>
      <c r="I6" s="9">
        <f>J39</f>
        <v/>
      </c>
      <c r="M6" s="10">
        <f>M34</f>
        <v/>
      </c>
    </row>
    <row r="7" ht="16" customHeight="1">
      <c r="B7" s="11">
        <f>Supuestos!$E$10&amp;" días · Cyber Monday del "&amp;TEXT(Supuestos!$C$9,"dd/mm")&amp;" al "&amp;TEXT(Supuestos!$D$9,"dd/mm")</f>
        <v/>
      </c>
      <c r="C7" s="12">
        <f>TEXT(Supuestos!$C$22,"0.0")&amp;" veces un día común"</f>
        <v/>
      </c>
      <c r="F7" s="13">
        <f>TEXT(Supuestos!$C$23,"0.0")&amp;" veces un día común"</f>
        <v/>
      </c>
      <c r="I7" s="12" t="inlineStr">
        <is>
          <t>Escenario conservador</t>
        </is>
      </c>
      <c r="M7" s="11" t="inlineStr">
        <is>
          <t>Escenario conservador</t>
        </is>
      </c>
    </row>
    <row r="10" ht="24" customHeight="1">
      <c r="B10" s="14" t="inlineStr">
        <is>
          <t>COMPARATIVO DE ESCENARIOS</t>
        </is>
      </c>
      <c r="C10" s="15" t="n"/>
      <c r="D10" s="15" t="n"/>
      <c r="E10" s="15" t="n"/>
      <c r="H10" s="14" t="inlineStr">
        <is>
          <t>INVERSIÓN POR MEDIO</t>
        </is>
      </c>
      <c r="I10" s="15" t="n"/>
      <c r="J10" s="15" t="n"/>
      <c r="K10" s="15" t="n"/>
      <c r="L10" s="15" t="n"/>
    </row>
    <row r="11" ht="30" customHeight="1">
      <c r="B11" s="16" t="inlineStr">
        <is>
          <t>Indicador</t>
        </is>
      </c>
      <c r="C11" s="16" t="inlineStr">
        <is>
          <t>Conservador</t>
        </is>
      </c>
      <c r="D11" s="16" t="inlineStr">
        <is>
          <t>Arriesgado</t>
        </is>
      </c>
      <c r="E11" s="16" t="inlineStr">
        <is>
          <t>Diferencia</t>
        </is>
      </c>
      <c r="H11" s="16" t="inlineStr">
        <is>
          <t>Medio</t>
        </is>
      </c>
      <c r="I11" s="16" t="inlineStr">
        <is>
          <t>Conservador</t>
        </is>
      </c>
      <c r="J11" s="16" t="inlineStr">
        <is>
          <t>%</t>
        </is>
      </c>
      <c r="K11" s="16" t="inlineStr">
        <is>
          <t>Arriesgado</t>
        </is>
      </c>
      <c r="L11" s="16" t="inlineStr">
        <is>
          <t>%</t>
        </is>
      </c>
    </row>
    <row r="12">
      <c r="B12" s="17" t="inlineStr">
        <is>
          <t>Inversión</t>
        </is>
      </c>
      <c r="C12" s="18">
        <f>H39</f>
        <v/>
      </c>
      <c r="D12" s="19">
        <f>H49</f>
        <v/>
      </c>
      <c r="E12" s="20">
        <f>IFERROR(D12/C12-1,"")</f>
        <v/>
      </c>
      <c r="H12" s="17" t="inlineStr">
        <is>
          <t>LinkedIn Ads</t>
        </is>
      </c>
      <c r="I12" s="18">
        <f>IF($D$34=H12,$H$34,0)+IF($D$36=H12,$H$36,0)+IF($D$37=H12,$H$37,0)+IF($D$38=H12,$H$38,0)</f>
        <v/>
      </c>
      <c r="J12" s="21">
        <f>IFERROR(I12/$I$15,"")</f>
        <v/>
      </c>
      <c r="K12" s="18">
        <f>IF($D$44=H12,$H$44,0)+IF($D$46=H12,$H$46,0)+IF($D$47=H12,$H$47,0)+IF($D$48=H12,$H$48,0)</f>
        <v/>
      </c>
      <c r="L12" s="21">
        <f>IFERROR(K12/$K$15,"")</f>
        <v/>
      </c>
    </row>
    <row r="13">
      <c r="B13" s="22" t="inlineStr">
        <is>
          <t>Impresiones</t>
        </is>
      </c>
      <c r="C13" s="23">
        <f>J39</f>
        <v/>
      </c>
      <c r="D13" s="24">
        <f>J49</f>
        <v/>
      </c>
      <c r="E13" s="25">
        <f>IFERROR(D13/C13-1,"")</f>
        <v/>
      </c>
      <c r="H13" s="22" t="inlineStr">
        <is>
          <t>Meta Ads</t>
        </is>
      </c>
      <c r="I13" s="26">
        <f>IF($D$34=H13,$H$34,0)+IF($D$36=H13,$H$36,0)+IF($D$37=H13,$H$37,0)+IF($D$38=H13,$H$38,0)</f>
        <v/>
      </c>
      <c r="J13" s="27">
        <f>IFERROR(I13/$I$15,"")</f>
        <v/>
      </c>
      <c r="K13" s="26">
        <f>IF($D$44=H13,$H$44,0)+IF($D$46=H13,$H$46,0)+IF($D$47=H13,$H$47,0)+IF($D$48=H13,$H$48,0)</f>
        <v/>
      </c>
      <c r="L13" s="27">
        <f>IFERROR(K13/$K$15,"")</f>
        <v/>
      </c>
    </row>
    <row r="14">
      <c r="B14" s="17" t="inlineStr">
        <is>
          <t>Clics</t>
        </is>
      </c>
      <c r="C14" s="28">
        <f>K39</f>
        <v/>
      </c>
      <c r="D14" s="29">
        <f>K49</f>
        <v/>
      </c>
      <c r="E14" s="20">
        <f>IFERROR(D14/C14-1,"")</f>
        <v/>
      </c>
      <c r="H14" s="17" t="inlineStr">
        <is>
          <t>Google Ads</t>
        </is>
      </c>
      <c r="I14" s="18">
        <f>IF($D$34=H14,$H$34,0)+IF($D$36=H14,$H$36,0)+IF($D$37=H14,$H$37,0)+IF($D$38=H14,$H$38,0)</f>
        <v/>
      </c>
      <c r="J14" s="21">
        <f>IFERROR(I14/$I$15,"")</f>
        <v/>
      </c>
      <c r="K14" s="18">
        <f>IF($D$44=H14,$H$44,0)+IF($D$46=H14,$H$46,0)+IF($D$47=H14,$H$47,0)+IF($D$48=H14,$H$48,0)</f>
        <v/>
      </c>
      <c r="L14" s="21">
        <f>IFERROR(K14/$K$15,"")</f>
        <v/>
      </c>
    </row>
    <row r="15" ht="20" customHeight="1">
      <c r="B15" s="22" t="inlineStr">
        <is>
          <t>CTR</t>
        </is>
      </c>
      <c r="C15" s="30">
        <f>L39</f>
        <v/>
      </c>
      <c r="D15" s="31">
        <f>L49</f>
        <v/>
      </c>
      <c r="E15" s="25">
        <f>IFERROR(D15/C15-1,"")</f>
        <v/>
      </c>
      <c r="H15" s="32" t="inlineStr">
        <is>
          <t>TOTAL</t>
        </is>
      </c>
      <c r="I15" s="33">
        <f>SUM(I12:I14)</f>
        <v/>
      </c>
      <c r="J15" s="34">
        <f>SUM(J12:J14)</f>
        <v/>
      </c>
      <c r="K15" s="33">
        <f>SUM(K12:K14)</f>
        <v/>
      </c>
      <c r="L15" s="34">
        <f>SUM(L12:L14)</f>
        <v/>
      </c>
    </row>
    <row r="16">
      <c r="B16" s="17" t="inlineStr">
        <is>
          <t>Alcance LinkedIn</t>
        </is>
      </c>
      <c r="C16" s="28">
        <f>M34</f>
        <v/>
      </c>
      <c r="D16" s="29">
        <f>M44</f>
        <v/>
      </c>
      <c r="E16" s="20">
        <f>IFERROR(D16/C16-1,"")</f>
        <v/>
      </c>
      <c r="H16" s="35" t="inlineStr">
        <is>
          <t>Meta: una sola campaña con presupuesto asignado por grupo de anuncios (público similar y remarketing).</t>
        </is>
      </c>
    </row>
    <row r="17">
      <c r="B17" s="22" t="inlineStr">
        <is>
          <t>Frecuencia LinkedIn</t>
        </is>
      </c>
      <c r="C17" s="36">
        <f>N34</f>
        <v/>
      </c>
      <c r="D17" s="37">
        <f>N44</f>
        <v/>
      </c>
      <c r="E17" s="25">
        <f>IFERROR(D17/C17-1,"")</f>
        <v/>
      </c>
    </row>
    <row r="18">
      <c r="B18" s="17" t="inlineStr">
        <is>
          <t>Conversiones estimadas</t>
        </is>
      </c>
      <c r="C18" s="38">
        <f>O39</f>
        <v/>
      </c>
      <c r="D18" s="39">
        <f>O49</f>
        <v/>
      </c>
      <c r="E18" s="20">
        <f>IFERROR(D18/C18-1,"")</f>
        <v/>
      </c>
    </row>
    <row r="19">
      <c r="B19" s="35" t="inlineStr">
        <is>
          <t>Las conversiones son un indicador secundario: el objetivo de la campaña es presencia como aliado logístico.</t>
        </is>
      </c>
    </row>
    <row r="21" ht="24" customHeight="1">
      <c r="B21" s="14" t="inlineStr">
        <is>
          <t>INVERSIÓN DIARIA VS. UN DÍA COMÚN DE B2B ARGENTINA</t>
        </is>
      </c>
      <c r="C21" s="15" t="n"/>
      <c r="D21" s="15" t="n"/>
      <c r="E21" s="15" t="n"/>
      <c r="F21" s="15" t="n"/>
      <c r="G21" s="15" t="n"/>
      <c r="H21" s="15" t="n"/>
      <c r="I21" s="15" t="n"/>
    </row>
    <row r="22" ht="30" customHeight="1">
      <c r="B22" s="16" t="inlineStr">
        <is>
          <t>Escenario</t>
        </is>
      </c>
      <c r="C22" s="16" t="inlineStr">
        <is>
          <t>Día común B2B AR</t>
        </is>
      </c>
      <c r="D22" s="16" t="inlineStr">
        <is>
          <t>Promedio diario</t>
        </is>
      </c>
      <c r="E22" s="16" t="inlineStr">
        <is>
          <t>Diferencia por día</t>
        </is>
      </c>
      <c r="F22" s="16" t="inlineStr">
        <is>
          <t>Veces un día común</t>
        </is>
      </c>
      <c r="G22" s="16" t="inlineStr"/>
      <c r="H22" s="16" t="inlineStr">
        <is>
          <t>Día del Cyber Monday</t>
        </is>
      </c>
      <c r="I22" s="16" t="inlineStr">
        <is>
          <t>Veces un día común</t>
        </is>
      </c>
    </row>
    <row r="23">
      <c r="B23" s="17" t="inlineStr">
        <is>
          <t>Conservador</t>
        </is>
      </c>
      <c r="C23" s="18">
        <f>Supuestos!$E$17</f>
        <v/>
      </c>
      <c r="D23" s="19">
        <f>I39</f>
        <v/>
      </c>
      <c r="E23" s="40">
        <f>D23-C23</f>
        <v/>
      </c>
      <c r="F23" s="41">
        <f>IFERROR(D23/C23,"")</f>
        <v/>
      </c>
      <c r="G23" s="42" t="n"/>
      <c r="H23" s="19">
        <f>H39*MAX(Supuestos!$C$40:$L$40)</f>
        <v/>
      </c>
      <c r="I23" s="41">
        <f>IFERROR(H23/C23,"")</f>
        <v/>
      </c>
    </row>
    <row r="24">
      <c r="B24" s="22" t="inlineStr">
        <is>
          <t>Arriesgado</t>
        </is>
      </c>
      <c r="C24" s="26">
        <f>Supuestos!$E$17</f>
        <v/>
      </c>
      <c r="D24" s="43">
        <f>I49</f>
        <v/>
      </c>
      <c r="E24" s="44">
        <f>D24-C24</f>
        <v/>
      </c>
      <c r="F24" s="45">
        <f>IFERROR(D24/C24,"")</f>
        <v/>
      </c>
      <c r="G24" s="46" t="n"/>
      <c r="H24" s="43">
        <f>H49*MAX(Supuestos!$C$40:$L$40)</f>
        <v/>
      </c>
      <c r="I24" s="45">
        <f>IFERROR(H24/C24,"")</f>
        <v/>
      </c>
    </row>
    <row r="25">
      <c r="B25" s="35">
        <f>"En el escenario conservador se invierten "&amp;TEXT(E23,"$ #,##0")&amp;" más por día que en un día común ("&amp;TEXT(F23,"0.0")&amp;" veces) y en los días del Cyber Monday "&amp;TEXT(I23,"0.0")&amp;" veces. En el arriesgado, "&amp;TEXT(F24,"0.0")&amp;" y "&amp;TEXT(I24,"0.0")&amp;" veces."</f>
        <v/>
      </c>
    </row>
    <row r="26">
      <c r="B26" s="35" t="inlineStr">
        <is>
          <t>Día común: inversión diaria real de las campañas B2B de Argentina en Google Ads, Meta Ads y LinkedIn Ads, 15/09 al 14/10/2026. En la semana del Cyber Monday todos los anunciantes suben su inversión; el plan acompaña esa suba para no perder visibilidad.</t>
        </is>
      </c>
    </row>
    <row r="29" ht="26" customHeight="1">
      <c r="B29" s="14" t="inlineStr">
        <is>
          <t>PROYECCIÓN POR CAMPAÑA</t>
        </is>
      </c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</row>
    <row r="31" ht="22" customHeight="1">
      <c r="B31" s="47" t="inlineStr">
        <is>
          <t>Escenario conservador</t>
        </is>
      </c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</row>
    <row r="32" ht="18" customHeight="1">
      <c r="B32" s="49" t="inlineStr">
        <is>
          <t>CAMPAÑA</t>
        </is>
      </c>
      <c r="C32" s="50" t="n"/>
      <c r="D32" s="50" t="n"/>
      <c r="E32" s="50" t="n"/>
      <c r="F32" s="51" t="n"/>
      <c r="G32" s="52" t="inlineStr">
        <is>
          <t>INVERSIÓN</t>
        </is>
      </c>
      <c r="H32" s="50" t="n"/>
      <c r="I32" s="51" t="n"/>
      <c r="J32" s="53" t="inlineStr">
        <is>
          <t>RESULTADOS ESTIMADOS</t>
        </is>
      </c>
      <c r="K32" s="50" t="n"/>
      <c r="L32" s="50" t="n"/>
      <c r="M32" s="50" t="n"/>
      <c r="N32" s="50" t="n"/>
      <c r="O32" s="50" t="n"/>
      <c r="P32" s="51" t="n"/>
    </row>
    <row r="33" ht="30" customHeight="1">
      <c r="B33" s="16" t="inlineStr">
        <is>
          <t>Campaña</t>
        </is>
      </c>
      <c r="C33" s="16" t="inlineStr">
        <is>
          <t>Grupo de anuncios</t>
        </is>
      </c>
      <c r="D33" s="16" t="inlineStr">
        <is>
          <t>Medio</t>
        </is>
      </c>
      <c r="E33" s="16" t="inlineStr">
        <is>
          <t>Objetivo</t>
        </is>
      </c>
      <c r="F33" s="16" t="inlineStr">
        <is>
          <t>Audiencia</t>
        </is>
      </c>
      <c r="G33" s="16" t="inlineStr">
        <is>
          <t>%</t>
        </is>
      </c>
      <c r="H33" s="16" t="inlineStr">
        <is>
          <t>Inversión</t>
        </is>
      </c>
      <c r="I33" s="16" t="inlineStr">
        <is>
          <t>Inv. diaria</t>
        </is>
      </c>
      <c r="J33" s="16" t="inlineStr">
        <is>
          <t>Impresiones</t>
        </is>
      </c>
      <c r="K33" s="16" t="inlineStr">
        <is>
          <t>Clics</t>
        </is>
      </c>
      <c r="L33" s="16" t="inlineStr">
        <is>
          <t>CTR</t>
        </is>
      </c>
      <c r="M33" s="16" t="inlineStr">
        <is>
          <t>Alcance</t>
        </is>
      </c>
      <c r="N33" s="16" t="inlineStr">
        <is>
          <t>Frecuencia</t>
        </is>
      </c>
      <c r="O33" s="16" t="inlineStr">
        <is>
          <t>Conversiones</t>
        </is>
      </c>
      <c r="P33" s="16" t="inlineStr">
        <is>
          <t>CPA</t>
        </is>
      </c>
    </row>
    <row r="34">
      <c r="B34" s="17" t="inlineStr">
        <is>
          <t>AR_B2B_LinkedIn_Boost_Awareness_Cyber2026</t>
        </is>
      </c>
      <c r="C34" s="42" t="inlineStr">
        <is>
          <t>Boost de posts</t>
        </is>
      </c>
      <c r="D34" s="42" t="inlineStr">
        <is>
          <t>LinkedIn Ads</t>
        </is>
      </c>
      <c r="E34" s="42" t="inlineStr">
        <is>
          <t>Reconocimiento</t>
        </is>
      </c>
      <c r="F34" s="54" t="inlineStr">
        <is>
          <t>Audiencia guardada B2B</t>
        </is>
      </c>
      <c r="G34" s="55" t="n">
        <v>0.3</v>
      </c>
      <c r="H34" s="19">
        <f>G34*Supuestos!$E$22</f>
        <v/>
      </c>
      <c r="I34" s="18">
        <f>IFERROR(H34/Supuestos!$E$10,"")</f>
        <v/>
      </c>
      <c r="J34" s="28">
        <f>IFERROR(H34/($H$56*(1+Supuestos!$D$34))*1000,"")</f>
        <v/>
      </c>
      <c r="K34" s="29">
        <f>IFERROR(H34/($I$56*(1+Supuestos!$D$34)),"")</f>
        <v/>
      </c>
      <c r="L34" s="56">
        <f>IFERROR(K34/J34,"")</f>
        <v/>
      </c>
      <c r="M34" s="29">
        <f>MIN(Supuestos!$D$29,J34/Supuestos!$D$30)</f>
        <v/>
      </c>
      <c r="N34" s="39">
        <f>IFERROR(J34/M34,"")</f>
        <v/>
      </c>
      <c r="O34" s="57" t="inlineStr">
        <is>
          <t>–</t>
        </is>
      </c>
      <c r="P34" s="57" t="inlineStr">
        <is>
          <t>–</t>
        </is>
      </c>
    </row>
    <row r="35">
      <c r="B35" s="58" t="inlineStr">
        <is>
          <t>AR_B2B_FB_Trafico_Cyber2026</t>
        </is>
      </c>
      <c r="C35" s="59" t="inlineStr">
        <is>
          <t>Total campaña (2 grupos)</t>
        </is>
      </c>
      <c r="D35" s="58" t="inlineStr">
        <is>
          <t>Meta Ads</t>
        </is>
      </c>
      <c r="E35" s="58" t="inlineStr">
        <is>
          <t>Tráfico web</t>
        </is>
      </c>
      <c r="F35" s="60" t="n"/>
      <c r="G35" s="61">
        <f>SUM(G36:G37)</f>
        <v/>
      </c>
      <c r="H35" s="62">
        <f>SUM(H36:H37)</f>
        <v/>
      </c>
      <c r="I35" s="62">
        <f>SUM(I36:I37)</f>
        <v/>
      </c>
      <c r="J35" s="63">
        <f>SUM(J36:J37)</f>
        <v/>
      </c>
      <c r="K35" s="63">
        <f>SUM(K36:K37)</f>
        <v/>
      </c>
      <c r="L35" s="64">
        <f>IFERROR(K35/J35,"")</f>
        <v/>
      </c>
      <c r="M35" s="65" t="inlineStr">
        <is>
          <t>–</t>
        </is>
      </c>
      <c r="N35" s="65" t="inlineStr">
        <is>
          <t>–</t>
        </is>
      </c>
      <c r="O35" s="66">
        <f>SUM(O36:O37)</f>
        <v/>
      </c>
      <c r="P35" s="62">
        <f>IFERROR(H35/O35,"")</f>
        <v/>
      </c>
    </row>
    <row r="36">
      <c r="B36" s="22" t="inlineStr"/>
      <c r="C36" s="46" t="inlineStr">
        <is>
          <t xml:space="preserve">   ↳ Público similar 1-3 % (BBDD)</t>
        </is>
      </c>
      <c r="D36" s="46" t="inlineStr">
        <is>
          <t>Meta Ads</t>
        </is>
      </c>
      <c r="E36" s="46" t="inlineStr">
        <is>
          <t>Tráfico web</t>
        </is>
      </c>
      <c r="F36" s="67" t="inlineStr">
        <is>
          <t>Similar a la base de datos</t>
        </is>
      </c>
      <c r="G36" s="55" t="n">
        <v>0.2</v>
      </c>
      <c r="H36" s="43">
        <f>G36*Supuestos!$E$22</f>
        <v/>
      </c>
      <c r="I36" s="26">
        <f>IFERROR(H36/Supuestos!$E$10,"")</f>
        <v/>
      </c>
      <c r="J36" s="23">
        <f>IFERROR(H36/($H$57*(1+Supuestos!$D$34))*1000,"")</f>
        <v/>
      </c>
      <c r="K36" s="24">
        <f>IFERROR(H36/($I$57*(1+Supuestos!$D$34)),"")</f>
        <v/>
      </c>
      <c r="L36" s="30">
        <f>IFERROR(K36/J36,"")</f>
        <v/>
      </c>
      <c r="M36" s="68" t="inlineStr">
        <is>
          <t>–</t>
        </is>
      </c>
      <c r="N36" s="68" t="inlineStr">
        <is>
          <t>–</t>
        </is>
      </c>
      <c r="O36" s="36">
        <f>IFERROR(K36*$K$57,"")</f>
        <v/>
      </c>
      <c r="P36" s="26">
        <f>IFERROR(H36/O36,"")</f>
        <v/>
      </c>
    </row>
    <row r="37">
      <c r="B37" s="17" t="inlineStr"/>
      <c r="C37" s="42" t="inlineStr">
        <is>
          <t xml:space="preserve">   ↳ Remarketing BBDD</t>
        </is>
      </c>
      <c r="D37" s="42" t="inlineStr">
        <is>
          <t>Meta Ads</t>
        </is>
      </c>
      <c r="E37" s="42" t="inlineStr">
        <is>
          <t>Tráfico web</t>
        </is>
      </c>
      <c r="F37" s="54" t="inlineStr">
        <is>
          <t>Base de datos de clientes y leads</t>
        </is>
      </c>
      <c r="G37" s="55" t="n">
        <v>0.1</v>
      </c>
      <c r="H37" s="19">
        <f>G37*Supuestos!$E$22</f>
        <v/>
      </c>
      <c r="I37" s="18">
        <f>IFERROR(H37/Supuestos!$E$10,"")</f>
        <v/>
      </c>
      <c r="J37" s="28">
        <f>IFERROR(H37/($H$57*(1+Supuestos!$D$34))*1000,"")</f>
        <v/>
      </c>
      <c r="K37" s="29">
        <f>IFERROR(H37/($I$57*(1+Supuestos!$D$34)),"")</f>
        <v/>
      </c>
      <c r="L37" s="56">
        <f>IFERROR(K37/J37,"")</f>
        <v/>
      </c>
      <c r="M37" s="57" t="inlineStr">
        <is>
          <t>–</t>
        </is>
      </c>
      <c r="N37" s="57" t="inlineStr">
        <is>
          <t>–</t>
        </is>
      </c>
      <c r="O37" s="38">
        <f>IFERROR(K37*$K$57,"")</f>
        <v/>
      </c>
      <c r="P37" s="18">
        <f>IFERROR(H37/O37,"")</f>
        <v/>
      </c>
    </row>
    <row r="38">
      <c r="B38" s="22" t="inlineStr">
        <is>
          <t>AR_B2B_GL_PMax_AliadoLogistico_Cyber2026</t>
        </is>
      </c>
      <c r="C38" s="46" t="inlineStr">
        <is>
          <t>Grupo de recursos único</t>
        </is>
      </c>
      <c r="D38" s="46" t="inlineStr">
        <is>
          <t>Google Ads</t>
        </is>
      </c>
      <c r="E38" s="46" t="inlineStr">
        <is>
          <t>Conversiones</t>
        </is>
      </c>
      <c r="F38" s="67" t="inlineStr">
        <is>
          <t>Señales: términos de búsqueda + remarketing BBDD</t>
        </is>
      </c>
      <c r="G38" s="55" t="n">
        <v>0.4</v>
      </c>
      <c r="H38" s="43">
        <f>G38*Supuestos!$E$22</f>
        <v/>
      </c>
      <c r="I38" s="26">
        <f>IFERROR(H38/Supuestos!$E$10,"")</f>
        <v/>
      </c>
      <c r="J38" s="23">
        <f>IFERROR(H38/($H$58*(1+Supuestos!$D$34))*1000,"")</f>
        <v/>
      </c>
      <c r="K38" s="24">
        <f>IFERROR(H38/($I$58*(1+Supuestos!$D$34)),"")</f>
        <v/>
      </c>
      <c r="L38" s="30">
        <f>IFERROR(K38/J38,"")</f>
        <v/>
      </c>
      <c r="M38" s="68" t="inlineStr">
        <is>
          <t>–</t>
        </is>
      </c>
      <c r="N38" s="68" t="inlineStr">
        <is>
          <t>–</t>
        </is>
      </c>
      <c r="O38" s="36">
        <f>IFERROR(K38*$K$58,"")</f>
        <v/>
      </c>
      <c r="P38" s="26">
        <f>IFERROR(H38/O38,"")</f>
        <v/>
      </c>
    </row>
    <row r="39" ht="20" customHeight="1">
      <c r="B39" s="32" t="inlineStr">
        <is>
          <t>Total escenario conservador</t>
        </is>
      </c>
      <c r="C39" s="69" t="n"/>
      <c r="D39" s="69" t="n"/>
      <c r="E39" s="69" t="n"/>
      <c r="F39" s="69" t="n"/>
      <c r="G39" s="34">
        <f>SUM(G34,G36,G37,G38)</f>
        <v/>
      </c>
      <c r="H39" s="33">
        <f>SUM(H34,H36,H37,H38)</f>
        <v/>
      </c>
      <c r="I39" s="70">
        <f>SUM(I34,I36,I37,I38)</f>
        <v/>
      </c>
      <c r="J39" s="71">
        <f>SUM(J34,J36,J37,J38)</f>
        <v/>
      </c>
      <c r="K39" s="71">
        <f>SUM(K34,K36,K37,K38)</f>
        <v/>
      </c>
      <c r="L39" s="72">
        <f>IFERROR(K39/J39,"")</f>
        <v/>
      </c>
      <c r="M39" s="69" t="n"/>
      <c r="N39" s="69" t="n"/>
      <c r="O39" s="73">
        <f>SUM(O34,O36,O37,O38)</f>
        <v/>
      </c>
      <c r="P39" s="70">
        <f>IFERROR(SUM(H36,H37,H38)/O39,"")</f>
        <v/>
      </c>
    </row>
    <row r="41" ht="22" customHeight="1">
      <c r="B41" s="47" t="inlineStr">
        <is>
          <t>Escenario arriesgado</t>
        </is>
      </c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</row>
    <row r="42" ht="18" customHeight="1">
      <c r="B42" s="49" t="inlineStr">
        <is>
          <t>CAMPAÑA</t>
        </is>
      </c>
      <c r="C42" s="50" t="n"/>
      <c r="D42" s="50" t="n"/>
      <c r="E42" s="50" t="n"/>
      <c r="F42" s="51" t="n"/>
      <c r="G42" s="52" t="inlineStr">
        <is>
          <t>INVERSIÓN</t>
        </is>
      </c>
      <c r="H42" s="50" t="n"/>
      <c r="I42" s="51" t="n"/>
      <c r="J42" s="53" t="inlineStr">
        <is>
          <t>RESULTADOS ESTIMADOS</t>
        </is>
      </c>
      <c r="K42" s="50" t="n"/>
      <c r="L42" s="50" t="n"/>
      <c r="M42" s="50" t="n"/>
      <c r="N42" s="50" t="n"/>
      <c r="O42" s="50" t="n"/>
      <c r="P42" s="51" t="n"/>
    </row>
    <row r="43" ht="30" customHeight="1">
      <c r="B43" s="16" t="inlineStr">
        <is>
          <t>Campaña</t>
        </is>
      </c>
      <c r="C43" s="16" t="inlineStr">
        <is>
          <t>Grupo de anuncios</t>
        </is>
      </c>
      <c r="D43" s="16" t="inlineStr">
        <is>
          <t>Medio</t>
        </is>
      </c>
      <c r="E43" s="16" t="inlineStr">
        <is>
          <t>Objetivo</t>
        </is>
      </c>
      <c r="F43" s="16" t="inlineStr">
        <is>
          <t>Audiencia</t>
        </is>
      </c>
      <c r="G43" s="16" t="inlineStr">
        <is>
          <t>%</t>
        </is>
      </c>
      <c r="H43" s="16" t="inlineStr">
        <is>
          <t>Inversión</t>
        </is>
      </c>
      <c r="I43" s="16" t="inlineStr">
        <is>
          <t>Inv. diaria</t>
        </is>
      </c>
      <c r="J43" s="16" t="inlineStr">
        <is>
          <t>Impresiones</t>
        </is>
      </c>
      <c r="K43" s="16" t="inlineStr">
        <is>
          <t>Clics</t>
        </is>
      </c>
      <c r="L43" s="16" t="inlineStr">
        <is>
          <t>CTR</t>
        </is>
      </c>
      <c r="M43" s="16" t="inlineStr">
        <is>
          <t>Alcance</t>
        </is>
      </c>
      <c r="N43" s="16" t="inlineStr">
        <is>
          <t>Frecuencia</t>
        </is>
      </c>
      <c r="O43" s="16" t="inlineStr">
        <is>
          <t>Conversiones</t>
        </is>
      </c>
      <c r="P43" s="16" t="inlineStr">
        <is>
          <t>CPA</t>
        </is>
      </c>
    </row>
    <row r="44">
      <c r="B44" s="17" t="inlineStr">
        <is>
          <t>AR_B2B_LinkedIn_Boost_Awareness_Cyber2026</t>
        </is>
      </c>
      <c r="C44" s="42" t="inlineStr">
        <is>
          <t>Boost de posts</t>
        </is>
      </c>
      <c r="D44" s="42" t="inlineStr">
        <is>
          <t>LinkedIn Ads</t>
        </is>
      </c>
      <c r="E44" s="42" t="inlineStr">
        <is>
          <t>Reconocimiento</t>
        </is>
      </c>
      <c r="F44" s="54" t="inlineStr">
        <is>
          <t>Audiencia guardada B2B</t>
        </is>
      </c>
      <c r="G44" s="55" t="n">
        <v>0.2</v>
      </c>
      <c r="H44" s="19">
        <f>G44*Supuestos!$E$23</f>
        <v/>
      </c>
      <c r="I44" s="18">
        <f>IFERROR(H44/Supuestos!$E$10,"")</f>
        <v/>
      </c>
      <c r="J44" s="28">
        <f>IFERROR(H44/($H$56*(1+Supuestos!$D$34))*1000,"")</f>
        <v/>
      </c>
      <c r="K44" s="29">
        <f>IFERROR(H44/($I$56*(1+Supuestos!$D$34)),"")</f>
        <v/>
      </c>
      <c r="L44" s="56">
        <f>IFERROR(K44/J44,"")</f>
        <v/>
      </c>
      <c r="M44" s="29">
        <f>MIN(Supuestos!$D$29,J44/Supuestos!$D$30)</f>
        <v/>
      </c>
      <c r="N44" s="39">
        <f>IFERROR(J44/M44,"")</f>
        <v/>
      </c>
      <c r="O44" s="57" t="inlineStr">
        <is>
          <t>–</t>
        </is>
      </c>
      <c r="P44" s="57" t="inlineStr">
        <is>
          <t>–</t>
        </is>
      </c>
    </row>
    <row r="45">
      <c r="B45" s="58" t="inlineStr">
        <is>
          <t>AR_B2B_FB_Trafico_Cyber2026</t>
        </is>
      </c>
      <c r="C45" s="59" t="inlineStr">
        <is>
          <t>Total campaña (2 grupos)</t>
        </is>
      </c>
      <c r="D45" s="58" t="inlineStr">
        <is>
          <t>Meta Ads</t>
        </is>
      </c>
      <c r="E45" s="58" t="inlineStr">
        <is>
          <t>Tráfico web</t>
        </is>
      </c>
      <c r="F45" s="60" t="n"/>
      <c r="G45" s="61">
        <f>SUM(G46:G47)</f>
        <v/>
      </c>
      <c r="H45" s="62">
        <f>SUM(H46:H47)</f>
        <v/>
      </c>
      <c r="I45" s="62">
        <f>SUM(I46:I47)</f>
        <v/>
      </c>
      <c r="J45" s="63">
        <f>SUM(J46:J47)</f>
        <v/>
      </c>
      <c r="K45" s="63">
        <f>SUM(K46:K47)</f>
        <v/>
      </c>
      <c r="L45" s="64">
        <f>IFERROR(K45/J45,"")</f>
        <v/>
      </c>
      <c r="M45" s="65" t="inlineStr">
        <is>
          <t>–</t>
        </is>
      </c>
      <c r="N45" s="65" t="inlineStr">
        <is>
          <t>–</t>
        </is>
      </c>
      <c r="O45" s="66">
        <f>SUM(O46:O47)</f>
        <v/>
      </c>
      <c r="P45" s="62">
        <f>IFERROR(H45/O45,"")</f>
        <v/>
      </c>
    </row>
    <row r="46">
      <c r="B46" s="22" t="inlineStr"/>
      <c r="C46" s="46" t="inlineStr">
        <is>
          <t xml:space="preserve">   ↳ Público similar 1-3 % (BBDD)</t>
        </is>
      </c>
      <c r="D46" s="46" t="inlineStr">
        <is>
          <t>Meta Ads</t>
        </is>
      </c>
      <c r="E46" s="46" t="inlineStr">
        <is>
          <t>Tráfico web</t>
        </is>
      </c>
      <c r="F46" s="67" t="inlineStr">
        <is>
          <t>Similar a la base de datos</t>
        </is>
      </c>
      <c r="G46" s="55" t="n">
        <v>0.3</v>
      </c>
      <c r="H46" s="43">
        <f>G46*Supuestos!$E$23</f>
        <v/>
      </c>
      <c r="I46" s="26">
        <f>IFERROR(H46/Supuestos!$E$10,"")</f>
        <v/>
      </c>
      <c r="J46" s="23">
        <f>IFERROR(H46/($H$57*(1+Supuestos!$D$34))*1000,"")</f>
        <v/>
      </c>
      <c r="K46" s="24">
        <f>IFERROR(H46/($I$57*(1+Supuestos!$D$34)),"")</f>
        <v/>
      </c>
      <c r="L46" s="30">
        <f>IFERROR(K46/J46,"")</f>
        <v/>
      </c>
      <c r="M46" s="68" t="inlineStr">
        <is>
          <t>–</t>
        </is>
      </c>
      <c r="N46" s="68" t="inlineStr">
        <is>
          <t>–</t>
        </is>
      </c>
      <c r="O46" s="36">
        <f>IFERROR(K46*$K$57,"")</f>
        <v/>
      </c>
      <c r="P46" s="26">
        <f>IFERROR(H46/O46,"")</f>
        <v/>
      </c>
    </row>
    <row r="47">
      <c r="B47" s="17" t="inlineStr"/>
      <c r="C47" s="42" t="inlineStr">
        <is>
          <t xml:space="preserve">   ↳ Remarketing BBDD</t>
        </is>
      </c>
      <c r="D47" s="42" t="inlineStr">
        <is>
          <t>Meta Ads</t>
        </is>
      </c>
      <c r="E47" s="42" t="inlineStr">
        <is>
          <t>Tráfico web</t>
        </is>
      </c>
      <c r="F47" s="54" t="inlineStr">
        <is>
          <t>Base de datos de clientes y leads</t>
        </is>
      </c>
      <c r="G47" s="55" t="n">
        <v>0.1</v>
      </c>
      <c r="H47" s="19">
        <f>G47*Supuestos!$E$23</f>
        <v/>
      </c>
      <c r="I47" s="18">
        <f>IFERROR(H47/Supuestos!$E$10,"")</f>
        <v/>
      </c>
      <c r="J47" s="28">
        <f>IFERROR(H47/($H$57*(1+Supuestos!$D$34))*1000,"")</f>
        <v/>
      </c>
      <c r="K47" s="29">
        <f>IFERROR(H47/($I$57*(1+Supuestos!$D$34)),"")</f>
        <v/>
      </c>
      <c r="L47" s="56">
        <f>IFERROR(K47/J47,"")</f>
        <v/>
      </c>
      <c r="M47" s="57" t="inlineStr">
        <is>
          <t>–</t>
        </is>
      </c>
      <c r="N47" s="57" t="inlineStr">
        <is>
          <t>–</t>
        </is>
      </c>
      <c r="O47" s="38">
        <f>IFERROR(K47*$K$57,"")</f>
        <v/>
      </c>
      <c r="P47" s="18">
        <f>IFERROR(H47/O47,"")</f>
        <v/>
      </c>
    </row>
    <row r="48">
      <c r="B48" s="22" t="inlineStr">
        <is>
          <t>AR_B2B_GL_PMax_AliadoLogistico_Cyber2026</t>
        </is>
      </c>
      <c r="C48" s="46" t="inlineStr">
        <is>
          <t>Grupo de recursos único</t>
        </is>
      </c>
      <c r="D48" s="46" t="inlineStr">
        <is>
          <t>Google Ads</t>
        </is>
      </c>
      <c r="E48" s="46" t="inlineStr">
        <is>
          <t>Conversiones</t>
        </is>
      </c>
      <c r="F48" s="67" t="inlineStr">
        <is>
          <t>Señales: términos de búsqueda + remarketing BBDD</t>
        </is>
      </c>
      <c r="G48" s="55" t="n">
        <v>0.4</v>
      </c>
      <c r="H48" s="43">
        <f>G48*Supuestos!$E$23</f>
        <v/>
      </c>
      <c r="I48" s="26">
        <f>IFERROR(H48/Supuestos!$E$10,"")</f>
        <v/>
      </c>
      <c r="J48" s="23">
        <f>IFERROR(H48/($H$58*(1+Supuestos!$D$34))*1000,"")</f>
        <v/>
      </c>
      <c r="K48" s="24">
        <f>IFERROR(H48/($I$58*(1+Supuestos!$D$34)),"")</f>
        <v/>
      </c>
      <c r="L48" s="30">
        <f>IFERROR(K48/J48,"")</f>
        <v/>
      </c>
      <c r="M48" s="68" t="inlineStr">
        <is>
          <t>–</t>
        </is>
      </c>
      <c r="N48" s="68" t="inlineStr">
        <is>
          <t>–</t>
        </is>
      </c>
      <c r="O48" s="36">
        <f>IFERROR(K48*$K$58,"")</f>
        <v/>
      </c>
      <c r="P48" s="26">
        <f>IFERROR(H48/O48,"")</f>
        <v/>
      </c>
    </row>
    <row r="49" ht="20" customHeight="1">
      <c r="B49" s="32" t="inlineStr">
        <is>
          <t>Total escenario arriesgado</t>
        </is>
      </c>
      <c r="C49" s="69" t="n"/>
      <c r="D49" s="69" t="n"/>
      <c r="E49" s="69" t="n"/>
      <c r="F49" s="69" t="n"/>
      <c r="G49" s="34">
        <f>SUM(G44,G46,G47,G48)</f>
        <v/>
      </c>
      <c r="H49" s="33">
        <f>SUM(H44,H46,H47,H48)</f>
        <v/>
      </c>
      <c r="I49" s="70">
        <f>SUM(I44,I46,I47,I48)</f>
        <v/>
      </c>
      <c r="J49" s="71">
        <f>SUM(J44,J46,J47,J48)</f>
        <v/>
      </c>
      <c r="K49" s="71">
        <f>SUM(K44,K46,K47,K48)</f>
        <v/>
      </c>
      <c r="L49" s="72">
        <f>IFERROR(K49/J49,"")</f>
        <v/>
      </c>
      <c r="M49" s="69" t="n"/>
      <c r="N49" s="69" t="n"/>
      <c r="O49" s="73">
        <f>SUM(O44,O46,O47,O48)</f>
        <v/>
      </c>
      <c r="P49" s="70">
        <f>IFERROR(SUM(H46,H47,H48)/O49,"")</f>
        <v/>
      </c>
    </row>
    <row r="50">
      <c r="B50" s="35" t="inlineStr">
        <is>
          <t>Proyección con los benchmarks de la tabla de referencia y una suba de costos de 15 % por la temporada. El objetivo es presencia: alcance, frecuencia y clics; las conversiones son un indicador secundario.</t>
        </is>
      </c>
    </row>
    <row r="54" ht="24" customHeight="1">
      <c r="B54" s="14" t="inlineStr">
        <is>
          <t>BENCHMARKS DE REFERENCIA</t>
        </is>
      </c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</row>
    <row r="55" ht="30" customHeight="1">
      <c r="B55" s="16" t="inlineStr">
        <is>
          <t>Medio</t>
        </is>
      </c>
      <c r="C55" s="16" t="inlineStr">
        <is>
          <t>Campaña de referencia</t>
        </is>
      </c>
      <c r="D55" s="50" t="n"/>
      <c r="E55" s="51" t="n"/>
      <c r="F55" s="16" t="inlineStr">
        <is>
          <t>Período</t>
        </is>
      </c>
      <c r="G55" s="51" t="n"/>
      <c r="H55" s="16" t="inlineStr">
        <is>
          <t>CPM</t>
        </is>
      </c>
      <c r="I55" s="16" t="inlineStr">
        <is>
          <t>CPC</t>
        </is>
      </c>
      <c r="J55" s="16" t="inlineStr">
        <is>
          <t>CTR</t>
        </is>
      </c>
      <c r="K55" s="16" t="inlineStr">
        <is>
          <t>CR</t>
        </is>
      </c>
      <c r="L55" s="16" t="inlineStr">
        <is>
          <t>Se usa en</t>
        </is>
      </c>
      <c r="M55" s="50" t="n"/>
      <c r="N55" s="51" t="n"/>
    </row>
    <row r="56">
      <c r="B56" s="17" t="inlineStr">
        <is>
          <t>LinkedIn Ads</t>
        </is>
      </c>
      <c r="C56" s="42" t="inlineStr">
        <is>
          <t>Boost de Contenido AR &amp; MX (imagen y video)</t>
        </is>
      </c>
      <c r="D56" s="50" t="n"/>
      <c r="E56" s="51" t="n"/>
      <c r="F56" s="54" t="inlineStr">
        <is>
          <t>15/09 al 14/10/2026</t>
        </is>
      </c>
      <c r="G56" s="51" t="n"/>
      <c r="H56" s="74" t="n">
        <v>10510.28</v>
      </c>
      <c r="I56" s="74" t="n">
        <v>2779.45</v>
      </c>
      <c r="J56" s="56">
        <f>IFERROR(H56/I56/1000,"")</f>
        <v/>
      </c>
      <c r="K56" s="57" t="inlineStr">
        <is>
          <t>–</t>
        </is>
      </c>
      <c r="L56" s="54" t="inlineStr">
        <is>
          <t>Boost de posts</t>
        </is>
      </c>
      <c r="M56" s="50" t="n"/>
      <c r="N56" s="51" t="n"/>
    </row>
    <row r="57">
      <c r="B57" s="22" t="inlineStr">
        <is>
          <t>Meta Ads</t>
        </is>
      </c>
      <c r="C57" s="46" t="inlineStr">
        <is>
          <t>AR_Hunting&amp;SameDay_H2_FB_Conversiones_2026</t>
        </is>
      </c>
      <c r="D57" s="50" t="n"/>
      <c r="E57" s="51" t="n"/>
      <c r="F57" s="67" t="inlineStr">
        <is>
          <t>15/09 al 14/10/2026</t>
        </is>
      </c>
      <c r="G57" s="51" t="n"/>
      <c r="H57" s="74" t="n">
        <v>9270.84</v>
      </c>
      <c r="I57" s="74" t="n">
        <v>810.33</v>
      </c>
      <c r="J57" s="30">
        <f>IFERROR(H57/I57/1000,"")</f>
        <v/>
      </c>
      <c r="K57" s="75" t="n">
        <v>0.0156</v>
      </c>
      <c r="L57" s="67" t="inlineStr">
        <is>
          <t>Público similar y remarketing</t>
        </is>
      </c>
      <c r="M57" s="50" t="n"/>
      <c r="N57" s="51" t="n"/>
    </row>
    <row r="58">
      <c r="B58" s="17" t="inlineStr">
        <is>
          <t>Google Ads</t>
        </is>
      </c>
      <c r="C58" s="42" t="inlineStr">
        <is>
          <t>Search B2B AR (Flex/SameDay, E-commerce, Fintech)</t>
        </is>
      </c>
      <c r="D58" s="50" t="n"/>
      <c r="E58" s="51" t="n"/>
      <c r="F58" s="54" t="inlineStr">
        <is>
          <t>15/09 al 14/10/2026</t>
        </is>
      </c>
      <c r="G58" s="51" t="n"/>
      <c r="H58" s="74" t="n">
        <v>21866.5</v>
      </c>
      <c r="I58" s="74" t="n">
        <v>2186.65</v>
      </c>
      <c r="J58" s="56">
        <f>IFERROR(H58/I58/1000,"")</f>
        <v/>
      </c>
      <c r="K58" s="75" t="n">
        <v>0.0557</v>
      </c>
      <c r="L58" s="54" t="inlineStr">
        <is>
          <t>Performance Max</t>
        </is>
      </c>
      <c r="M58" s="50" t="n"/>
      <c r="N58" s="51" t="n"/>
    </row>
    <row r="59">
      <c r="B59" s="35" t="inlineStr">
        <is>
          <t>Fuente: datos reales de Google Ads, Meta Ads y LinkedIn Ads, 15/09 al 14/10/2026. Meta: CPC por clic en el enlace y CR sobre leads calificados.</t>
        </is>
      </c>
    </row>
    <row r="60">
      <c r="B60" s="35" t="inlineStr">
        <is>
          <t>Performance Max es una campaña nueva: toma el CPC y la tasa de conversión de las campañas Search B2B de Argentina, con un CTR estimado de 1 %.</t>
        </is>
      </c>
    </row>
  </sheetData>
  <mergeCells count="33">
    <mergeCell ref="C6:D6"/>
    <mergeCell ref="C55:E55"/>
    <mergeCell ref="C5:D5"/>
    <mergeCell ref="B6"/>
    <mergeCell ref="F6:G6"/>
    <mergeCell ref="C56:E56"/>
    <mergeCell ref="L55:N55"/>
    <mergeCell ref="B5"/>
    <mergeCell ref="L58:N58"/>
    <mergeCell ref="J42:P42"/>
    <mergeCell ref="F7:G7"/>
    <mergeCell ref="F55:G55"/>
    <mergeCell ref="B42:F42"/>
    <mergeCell ref="F5:G5"/>
    <mergeCell ref="B7"/>
    <mergeCell ref="I5:K5"/>
    <mergeCell ref="L56:N56"/>
    <mergeCell ref="M5:P5"/>
    <mergeCell ref="G32:I32"/>
    <mergeCell ref="C57:E57"/>
    <mergeCell ref="F58:G58"/>
    <mergeCell ref="F56:G56"/>
    <mergeCell ref="I6:K6"/>
    <mergeCell ref="C58:E58"/>
    <mergeCell ref="G42:I42"/>
    <mergeCell ref="L57:N57"/>
    <mergeCell ref="C7:D7"/>
    <mergeCell ref="M7:P7"/>
    <mergeCell ref="M6:P6"/>
    <mergeCell ref="B32:F32"/>
    <mergeCell ref="F57:G57"/>
    <mergeCell ref="J32:P32"/>
    <mergeCell ref="I7:K7"/>
  </mergeCells>
  <conditionalFormatting sqref="J12:J14">
    <cfRule type="dataBar" priority="1">
      <dataBar>
        <cfvo type="num" val="0"/>
        <cfvo type="num" val="1"/>
        <color rgb="0059D7A2"/>
      </dataBar>
    </cfRule>
  </conditionalFormatting>
  <conditionalFormatting sqref="L12:L14">
    <cfRule type="dataBar" priority="2">
      <dataBar>
        <cfvo type="num" val="0"/>
        <cfvo type="num" val="1"/>
        <color rgb="00E71CA2"/>
      </dataBar>
    </cfRule>
  </conditionalFormatting>
  <conditionalFormatting sqref="F23:F24">
    <cfRule type="colorScale" priority="3">
      <colorScale>
        <cfvo type="min"/>
        <cfvo type="max"/>
        <color rgb="00EAF9F3"/>
        <color rgb="0059D7A2"/>
      </colorScale>
    </cfRule>
  </conditionalFormatting>
  <conditionalFormatting sqref="I23:I24">
    <cfRule type="colorScale" priority="4">
      <colorScale>
        <cfvo type="min"/>
        <cfvo type="max"/>
        <color rgb="00FDEAF5"/>
        <color rgb="00E71CA2"/>
      </colorScale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59D7A2"/>
    <outlinePr summaryBelow="1" summaryRight="1"/>
    <pageSetUpPr fitToPage="1"/>
  </sheetPr>
  <dimension ref="B2:Y31"/>
  <sheetViews>
    <sheetView showGridLines="0" workbookViewId="0">
      <pane xSplit="2" topLeftCell="C1" activePane="topRight" state="frozen"/>
      <selection pane="topRight" activeCell="A1" sqref="A1"/>
    </sheetView>
  </sheetViews>
  <sheetFormatPr baseColWidth="8" defaultRowHeight="15"/>
  <cols>
    <col width="2.6" customWidth="1" min="1" max="1"/>
    <col width="52" customWidth="1" min="2" max="2"/>
    <col width="13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2">
      <c r="B2" s="1" t="inlineStr">
        <is>
          <t>zenda.</t>
        </is>
      </c>
    </row>
    <row r="3" ht="28" customHeight="1">
      <c r="B3" s="2" t="inlineStr">
        <is>
          <t>Inversión diaria  |  Cyber B2B Argentina</t>
        </is>
      </c>
    </row>
    <row r="5" ht="24" customHeight="1">
      <c r="B5" s="14" t="inlineStr">
        <is>
          <t>PLAN · ESCENARIO CONSERVADOR</t>
        </is>
      </c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</row>
    <row r="6" ht="30" customHeight="1">
      <c r="B6" s="16" t="inlineStr">
        <is>
          <t>Campaña / grupo de anuncios</t>
        </is>
      </c>
      <c r="C6" s="16" t="inlineStr">
        <is>
          <t>Inversión</t>
        </is>
      </c>
      <c r="D6" s="76">
        <f>Supuestos!C39</f>
        <v/>
      </c>
      <c r="E6" s="76">
        <f>Supuestos!D39</f>
        <v/>
      </c>
      <c r="F6" s="76">
        <f>Supuestos!E39</f>
        <v/>
      </c>
      <c r="G6" s="76">
        <f>Supuestos!F39</f>
        <v/>
      </c>
      <c r="H6" s="76">
        <f>Supuestos!G39</f>
        <v/>
      </c>
      <c r="I6" s="76">
        <f>Supuestos!H39</f>
        <v/>
      </c>
      <c r="J6" s="76">
        <f>Supuestos!I39</f>
        <v/>
      </c>
      <c r="K6" s="76">
        <f>Supuestos!J39</f>
        <v/>
      </c>
      <c r="L6" s="76">
        <f>Supuestos!K39</f>
        <v/>
      </c>
      <c r="M6" s="76">
        <f>Supuestos!L39</f>
        <v/>
      </c>
    </row>
    <row r="7">
      <c r="B7" s="17">
        <f>IF('MP Cyber B2B'!B34="",'MP Cyber B2B'!B35&amp;" · "&amp;TRIM(SUBSTITUTE('MP Cyber B2B'!C34,"↳","")),'MP Cyber B2B'!B34)</f>
        <v/>
      </c>
      <c r="C7" s="18">
        <f>'MP Cyber B2B'!H34</f>
        <v/>
      </c>
      <c r="D7" s="18">
        <f>$C7*Supuestos!C$40</f>
        <v/>
      </c>
      <c r="E7" s="18">
        <f>$C7*Supuestos!D$40</f>
        <v/>
      </c>
      <c r="F7" s="18">
        <f>$C7*Supuestos!E$40</f>
        <v/>
      </c>
      <c r="G7" s="18">
        <f>$C7*Supuestos!F$40</f>
        <v/>
      </c>
      <c r="H7" s="18">
        <f>$C7*Supuestos!G$40</f>
        <v/>
      </c>
      <c r="I7" s="18">
        <f>$C7*Supuestos!H$40</f>
        <v/>
      </c>
      <c r="J7" s="18">
        <f>$C7*Supuestos!I$40</f>
        <v/>
      </c>
      <c r="K7" s="18">
        <f>$C7*Supuestos!J$40</f>
        <v/>
      </c>
      <c r="L7" s="18">
        <f>$C7*Supuestos!K$40</f>
        <v/>
      </c>
      <c r="M7" s="18">
        <f>$C7*Supuestos!L$40</f>
        <v/>
      </c>
    </row>
    <row r="8">
      <c r="B8" s="22">
        <f>IF('MP Cyber B2B'!B36="",'MP Cyber B2B'!B35&amp;" · "&amp;TRIM(SUBSTITUTE('MP Cyber B2B'!C36,"↳","")),'MP Cyber B2B'!B36)</f>
        <v/>
      </c>
      <c r="C8" s="26">
        <f>'MP Cyber B2B'!H36</f>
        <v/>
      </c>
      <c r="D8" s="26">
        <f>$C8*Supuestos!C$40</f>
        <v/>
      </c>
      <c r="E8" s="26">
        <f>$C8*Supuestos!D$40</f>
        <v/>
      </c>
      <c r="F8" s="26">
        <f>$C8*Supuestos!E$40</f>
        <v/>
      </c>
      <c r="G8" s="26">
        <f>$C8*Supuestos!F$40</f>
        <v/>
      </c>
      <c r="H8" s="26">
        <f>$C8*Supuestos!G$40</f>
        <v/>
      </c>
      <c r="I8" s="26">
        <f>$C8*Supuestos!H$40</f>
        <v/>
      </c>
      <c r="J8" s="26">
        <f>$C8*Supuestos!I$40</f>
        <v/>
      </c>
      <c r="K8" s="26">
        <f>$C8*Supuestos!J$40</f>
        <v/>
      </c>
      <c r="L8" s="26">
        <f>$C8*Supuestos!K$40</f>
        <v/>
      </c>
      <c r="M8" s="26">
        <f>$C8*Supuestos!L$40</f>
        <v/>
      </c>
    </row>
    <row r="9">
      <c r="B9" s="17">
        <f>IF('MP Cyber B2B'!B37="",'MP Cyber B2B'!B35&amp;" · "&amp;TRIM(SUBSTITUTE('MP Cyber B2B'!C37,"↳","")),'MP Cyber B2B'!B37)</f>
        <v/>
      </c>
      <c r="C9" s="18">
        <f>'MP Cyber B2B'!H37</f>
        <v/>
      </c>
      <c r="D9" s="18">
        <f>$C9*Supuestos!C$40</f>
        <v/>
      </c>
      <c r="E9" s="18">
        <f>$C9*Supuestos!D$40</f>
        <v/>
      </c>
      <c r="F9" s="18">
        <f>$C9*Supuestos!E$40</f>
        <v/>
      </c>
      <c r="G9" s="18">
        <f>$C9*Supuestos!F$40</f>
        <v/>
      </c>
      <c r="H9" s="18">
        <f>$C9*Supuestos!G$40</f>
        <v/>
      </c>
      <c r="I9" s="18">
        <f>$C9*Supuestos!H$40</f>
        <v/>
      </c>
      <c r="J9" s="18">
        <f>$C9*Supuestos!I$40</f>
        <v/>
      </c>
      <c r="K9" s="18">
        <f>$C9*Supuestos!J$40</f>
        <v/>
      </c>
      <c r="L9" s="18">
        <f>$C9*Supuestos!K$40</f>
        <v/>
      </c>
      <c r="M9" s="18">
        <f>$C9*Supuestos!L$40</f>
        <v/>
      </c>
    </row>
    <row r="10">
      <c r="B10" s="22">
        <f>IF('MP Cyber B2B'!B38="",'MP Cyber B2B'!B35&amp;" · "&amp;TRIM(SUBSTITUTE('MP Cyber B2B'!C38,"↳","")),'MP Cyber B2B'!B38)</f>
        <v/>
      </c>
      <c r="C10" s="26">
        <f>'MP Cyber B2B'!H38</f>
        <v/>
      </c>
      <c r="D10" s="26">
        <f>$C10*Supuestos!C$40</f>
        <v/>
      </c>
      <c r="E10" s="26">
        <f>$C10*Supuestos!D$40</f>
        <v/>
      </c>
      <c r="F10" s="26">
        <f>$C10*Supuestos!E$40</f>
        <v/>
      </c>
      <c r="G10" s="26">
        <f>$C10*Supuestos!F$40</f>
        <v/>
      </c>
      <c r="H10" s="26">
        <f>$C10*Supuestos!G$40</f>
        <v/>
      </c>
      <c r="I10" s="26">
        <f>$C10*Supuestos!H$40</f>
        <v/>
      </c>
      <c r="J10" s="26">
        <f>$C10*Supuestos!I$40</f>
        <v/>
      </c>
      <c r="K10" s="26">
        <f>$C10*Supuestos!J$40</f>
        <v/>
      </c>
      <c r="L10" s="26">
        <f>$C10*Supuestos!K$40</f>
        <v/>
      </c>
      <c r="M10" s="26">
        <f>$C10*Supuestos!L$40</f>
        <v/>
      </c>
    </row>
    <row r="11" ht="20" customHeight="1">
      <c r="B11" s="32" t="inlineStr">
        <is>
          <t>Total conservador</t>
        </is>
      </c>
      <c r="C11" s="33">
        <f>SUM(C7:C10)</f>
        <v/>
      </c>
      <c r="D11" s="70">
        <f>SUM(D7:D10)</f>
        <v/>
      </c>
      <c r="E11" s="70">
        <f>SUM(E7:E10)</f>
        <v/>
      </c>
      <c r="F11" s="70">
        <f>SUM(F7:F10)</f>
        <v/>
      </c>
      <c r="G11" s="70">
        <f>SUM(G7:G10)</f>
        <v/>
      </c>
      <c r="H11" s="70">
        <f>SUM(H7:H10)</f>
        <v/>
      </c>
      <c r="I11" s="70">
        <f>SUM(I7:I10)</f>
        <v/>
      </c>
      <c r="J11" s="70">
        <f>SUM(J7:J10)</f>
        <v/>
      </c>
      <c r="K11" s="70">
        <f>SUM(K7:K10)</f>
        <v/>
      </c>
      <c r="L11" s="70">
        <f>SUM(L7:L10)</f>
        <v/>
      </c>
      <c r="M11" s="70">
        <f>SUM(M7:M10)</f>
        <v/>
      </c>
    </row>
    <row r="14" ht="24" customHeight="1">
      <c r="B14" s="14" t="inlineStr">
        <is>
          <t>PLAN · ESCENARIO ARRIESGADO</t>
        </is>
      </c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</row>
    <row r="15" ht="30" customHeight="1">
      <c r="B15" s="16" t="inlineStr">
        <is>
          <t>Campaña / grupo de anuncios</t>
        </is>
      </c>
      <c r="C15" s="16" t="inlineStr">
        <is>
          <t>Inversión</t>
        </is>
      </c>
      <c r="D15" s="76">
        <f>Supuestos!C39</f>
        <v/>
      </c>
      <c r="E15" s="76">
        <f>Supuestos!D39</f>
        <v/>
      </c>
      <c r="F15" s="76">
        <f>Supuestos!E39</f>
        <v/>
      </c>
      <c r="G15" s="76">
        <f>Supuestos!F39</f>
        <v/>
      </c>
      <c r="H15" s="76">
        <f>Supuestos!G39</f>
        <v/>
      </c>
      <c r="I15" s="76">
        <f>Supuestos!H39</f>
        <v/>
      </c>
      <c r="J15" s="76">
        <f>Supuestos!I39</f>
        <v/>
      </c>
      <c r="K15" s="76">
        <f>Supuestos!J39</f>
        <v/>
      </c>
      <c r="L15" s="76">
        <f>Supuestos!K39</f>
        <v/>
      </c>
      <c r="M15" s="76">
        <f>Supuestos!L39</f>
        <v/>
      </c>
    </row>
    <row r="16">
      <c r="B16" s="17">
        <f>IF('MP Cyber B2B'!B44="",'MP Cyber B2B'!B45&amp;" · "&amp;TRIM(SUBSTITUTE('MP Cyber B2B'!C44,"↳","")),'MP Cyber B2B'!B44)</f>
        <v/>
      </c>
      <c r="C16" s="18">
        <f>'MP Cyber B2B'!H44</f>
        <v/>
      </c>
      <c r="D16" s="18">
        <f>$C16*Supuestos!C$40</f>
        <v/>
      </c>
      <c r="E16" s="18">
        <f>$C16*Supuestos!D$40</f>
        <v/>
      </c>
      <c r="F16" s="18">
        <f>$C16*Supuestos!E$40</f>
        <v/>
      </c>
      <c r="G16" s="18">
        <f>$C16*Supuestos!F$40</f>
        <v/>
      </c>
      <c r="H16" s="18">
        <f>$C16*Supuestos!G$40</f>
        <v/>
      </c>
      <c r="I16" s="18">
        <f>$C16*Supuestos!H$40</f>
        <v/>
      </c>
      <c r="J16" s="18">
        <f>$C16*Supuestos!I$40</f>
        <v/>
      </c>
      <c r="K16" s="18">
        <f>$C16*Supuestos!J$40</f>
        <v/>
      </c>
      <c r="L16" s="18">
        <f>$C16*Supuestos!K$40</f>
        <v/>
      </c>
      <c r="M16" s="18">
        <f>$C16*Supuestos!L$40</f>
        <v/>
      </c>
    </row>
    <row r="17">
      <c r="B17" s="22">
        <f>IF('MP Cyber B2B'!B46="",'MP Cyber B2B'!B45&amp;" · "&amp;TRIM(SUBSTITUTE('MP Cyber B2B'!C46,"↳","")),'MP Cyber B2B'!B46)</f>
        <v/>
      </c>
      <c r="C17" s="26">
        <f>'MP Cyber B2B'!H46</f>
        <v/>
      </c>
      <c r="D17" s="26">
        <f>$C17*Supuestos!C$40</f>
        <v/>
      </c>
      <c r="E17" s="26">
        <f>$C17*Supuestos!D$40</f>
        <v/>
      </c>
      <c r="F17" s="26">
        <f>$C17*Supuestos!E$40</f>
        <v/>
      </c>
      <c r="G17" s="26">
        <f>$C17*Supuestos!F$40</f>
        <v/>
      </c>
      <c r="H17" s="26">
        <f>$C17*Supuestos!G$40</f>
        <v/>
      </c>
      <c r="I17" s="26">
        <f>$C17*Supuestos!H$40</f>
        <v/>
      </c>
      <c r="J17" s="26">
        <f>$C17*Supuestos!I$40</f>
        <v/>
      </c>
      <c r="K17" s="26">
        <f>$C17*Supuestos!J$40</f>
        <v/>
      </c>
      <c r="L17" s="26">
        <f>$C17*Supuestos!K$40</f>
        <v/>
      </c>
      <c r="M17" s="26">
        <f>$C17*Supuestos!L$40</f>
        <v/>
      </c>
    </row>
    <row r="18">
      <c r="B18" s="17">
        <f>IF('MP Cyber B2B'!B47="",'MP Cyber B2B'!B45&amp;" · "&amp;TRIM(SUBSTITUTE('MP Cyber B2B'!C47,"↳","")),'MP Cyber B2B'!B47)</f>
        <v/>
      </c>
      <c r="C18" s="18">
        <f>'MP Cyber B2B'!H47</f>
        <v/>
      </c>
      <c r="D18" s="18">
        <f>$C18*Supuestos!C$40</f>
        <v/>
      </c>
      <c r="E18" s="18">
        <f>$C18*Supuestos!D$40</f>
        <v/>
      </c>
      <c r="F18" s="18">
        <f>$C18*Supuestos!E$40</f>
        <v/>
      </c>
      <c r="G18" s="18">
        <f>$C18*Supuestos!F$40</f>
        <v/>
      </c>
      <c r="H18" s="18">
        <f>$C18*Supuestos!G$40</f>
        <v/>
      </c>
      <c r="I18" s="18">
        <f>$C18*Supuestos!H$40</f>
        <v/>
      </c>
      <c r="J18" s="18">
        <f>$C18*Supuestos!I$40</f>
        <v/>
      </c>
      <c r="K18" s="18">
        <f>$C18*Supuestos!J$40</f>
        <v/>
      </c>
      <c r="L18" s="18">
        <f>$C18*Supuestos!K$40</f>
        <v/>
      </c>
      <c r="M18" s="18">
        <f>$C18*Supuestos!L$40</f>
        <v/>
      </c>
    </row>
    <row r="19">
      <c r="B19" s="22">
        <f>IF('MP Cyber B2B'!B48="",'MP Cyber B2B'!B45&amp;" · "&amp;TRIM(SUBSTITUTE('MP Cyber B2B'!C48,"↳","")),'MP Cyber B2B'!B48)</f>
        <v/>
      </c>
      <c r="C19" s="26">
        <f>'MP Cyber B2B'!H48</f>
        <v/>
      </c>
      <c r="D19" s="26">
        <f>$C19*Supuestos!C$40</f>
        <v/>
      </c>
      <c r="E19" s="26">
        <f>$C19*Supuestos!D$40</f>
        <v/>
      </c>
      <c r="F19" s="26">
        <f>$C19*Supuestos!E$40</f>
        <v/>
      </c>
      <c r="G19" s="26">
        <f>$C19*Supuestos!F$40</f>
        <v/>
      </c>
      <c r="H19" s="26">
        <f>$C19*Supuestos!G$40</f>
        <v/>
      </c>
      <c r="I19" s="26">
        <f>$C19*Supuestos!H$40</f>
        <v/>
      </c>
      <c r="J19" s="26">
        <f>$C19*Supuestos!I$40</f>
        <v/>
      </c>
      <c r="K19" s="26">
        <f>$C19*Supuestos!J$40</f>
        <v/>
      </c>
      <c r="L19" s="26">
        <f>$C19*Supuestos!K$40</f>
        <v/>
      </c>
      <c r="M19" s="26">
        <f>$C19*Supuestos!L$40</f>
        <v/>
      </c>
    </row>
    <row r="20" ht="20" customHeight="1">
      <c r="B20" s="32" t="inlineStr">
        <is>
          <t>Total arriesgado</t>
        </is>
      </c>
      <c r="C20" s="33">
        <f>SUM(C16:C19)</f>
        <v/>
      </c>
      <c r="D20" s="70">
        <f>SUM(D16:D19)</f>
        <v/>
      </c>
      <c r="E20" s="70">
        <f>SUM(E16:E19)</f>
        <v/>
      </c>
      <c r="F20" s="70">
        <f>SUM(F16:F19)</f>
        <v/>
      </c>
      <c r="G20" s="70">
        <f>SUM(G16:G19)</f>
        <v/>
      </c>
      <c r="H20" s="70">
        <f>SUM(H16:H19)</f>
        <v/>
      </c>
      <c r="I20" s="70">
        <f>SUM(I16:I19)</f>
        <v/>
      </c>
      <c r="J20" s="70">
        <f>SUM(J16:J19)</f>
        <v/>
      </c>
      <c r="K20" s="70">
        <f>SUM(K16:K19)</f>
        <v/>
      </c>
      <c r="L20" s="70">
        <f>SUM(L16:L19)</f>
        <v/>
      </c>
      <c r="M20" s="70">
        <f>SUM(M16:M19)</f>
        <v/>
      </c>
    </row>
    <row r="23" ht="24" customHeight="1">
      <c r="B23" s="14" t="inlineStr">
        <is>
          <t>CONTROL DE CONSUMO</t>
        </is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</row>
    <row r="24">
      <c r="B24" s="35">
        <f>"Escenario controlado: "&amp;Supuestos!$D$45</f>
        <v/>
      </c>
    </row>
    <row r="25" ht="30" customHeight="1">
      <c r="B25" s="16" t="inlineStr">
        <is>
          <t>Campaña / grupo de anuncios</t>
        </is>
      </c>
      <c r="C25" s="16" t="inlineStr">
        <is>
          <t>Inversión</t>
        </is>
      </c>
      <c r="D25" s="76">
        <f>Supuestos!C39</f>
        <v/>
      </c>
      <c r="E25" s="16" t="inlineStr">
        <is>
          <t>%</t>
        </is>
      </c>
      <c r="F25" s="76">
        <f>Supuestos!D39</f>
        <v/>
      </c>
      <c r="G25" s="16" t="inlineStr">
        <is>
          <t>%</t>
        </is>
      </c>
      <c r="H25" s="76">
        <f>Supuestos!E39</f>
        <v/>
      </c>
      <c r="I25" s="16" t="inlineStr">
        <is>
          <t>%</t>
        </is>
      </c>
      <c r="J25" s="76">
        <f>Supuestos!F39</f>
        <v/>
      </c>
      <c r="K25" s="16" t="inlineStr">
        <is>
          <t>%</t>
        </is>
      </c>
      <c r="L25" s="76">
        <f>Supuestos!G39</f>
        <v/>
      </c>
      <c r="M25" s="16" t="inlineStr">
        <is>
          <t>%</t>
        </is>
      </c>
      <c r="N25" s="76">
        <f>Supuestos!H39</f>
        <v/>
      </c>
      <c r="O25" s="16" t="inlineStr">
        <is>
          <t>%</t>
        </is>
      </c>
      <c r="P25" s="76">
        <f>Supuestos!I39</f>
        <v/>
      </c>
      <c r="Q25" s="16" t="inlineStr">
        <is>
          <t>%</t>
        </is>
      </c>
      <c r="R25" s="76">
        <f>Supuestos!J39</f>
        <v/>
      </c>
      <c r="S25" s="16" t="inlineStr">
        <is>
          <t>%</t>
        </is>
      </c>
      <c r="T25" s="76">
        <f>Supuestos!K39</f>
        <v/>
      </c>
      <c r="U25" s="16" t="inlineStr">
        <is>
          <t>%</t>
        </is>
      </c>
      <c r="V25" s="76">
        <f>Supuestos!L39</f>
        <v/>
      </c>
      <c r="W25" s="16" t="inlineStr">
        <is>
          <t>%</t>
        </is>
      </c>
      <c r="X25" s="16" t="inlineStr">
        <is>
          <t>Consumido</t>
        </is>
      </c>
      <c r="Y25" s="16" t="inlineStr">
        <is>
          <t>% del total</t>
        </is>
      </c>
    </row>
    <row r="26">
      <c r="B26" s="17">
        <f>B7</f>
        <v/>
      </c>
      <c r="C26" s="18">
        <f>IF(Supuestos!$D$45="Arriesgado",C16,C7)</f>
        <v/>
      </c>
      <c r="D26" s="74" t="n"/>
      <c r="E26" s="21">
        <f>IF(D26="","",IFERROR(D26/IF(Supuestos!$D$45="Arriesgado",D16,D7),""))</f>
        <v/>
      </c>
      <c r="F26" s="74" t="n"/>
      <c r="G26" s="21">
        <f>IF(F26="","",IFERROR(F26/IF(Supuestos!$D$45="Arriesgado",E16,E7),""))</f>
        <v/>
      </c>
      <c r="H26" s="74" t="n"/>
      <c r="I26" s="21">
        <f>IF(H26="","",IFERROR(H26/IF(Supuestos!$D$45="Arriesgado",F16,F7),""))</f>
        <v/>
      </c>
      <c r="J26" s="74" t="n"/>
      <c r="K26" s="21">
        <f>IF(J26="","",IFERROR(J26/IF(Supuestos!$D$45="Arriesgado",G16,G7),""))</f>
        <v/>
      </c>
      <c r="L26" s="74" t="n"/>
      <c r="M26" s="21">
        <f>IF(L26="","",IFERROR(L26/IF(Supuestos!$D$45="Arriesgado",H16,H7),""))</f>
        <v/>
      </c>
      <c r="N26" s="74" t="n"/>
      <c r="O26" s="21">
        <f>IF(N26="","",IFERROR(N26/IF(Supuestos!$D$45="Arriesgado",I16,I7),""))</f>
        <v/>
      </c>
      <c r="P26" s="74" t="n"/>
      <c r="Q26" s="21">
        <f>IF(P26="","",IFERROR(P26/IF(Supuestos!$D$45="Arriesgado",J16,J7),""))</f>
        <v/>
      </c>
      <c r="R26" s="74" t="n"/>
      <c r="S26" s="21">
        <f>IF(R26="","",IFERROR(R26/IF(Supuestos!$D$45="Arriesgado",K16,K7),""))</f>
        <v/>
      </c>
      <c r="T26" s="74" t="n"/>
      <c r="U26" s="21">
        <f>IF(T26="","",IFERROR(T26/IF(Supuestos!$D$45="Arriesgado",L16,L7),""))</f>
        <v/>
      </c>
      <c r="V26" s="74" t="n"/>
      <c r="W26" s="21">
        <f>IF(V26="","",IFERROR(V26/IF(Supuestos!$D$45="Arriesgado",M16,M7),""))</f>
        <v/>
      </c>
      <c r="X26" s="19">
        <f>SUM(D26,F26,H26,J26,L26,N26,P26,R26,T26,V26)</f>
        <v/>
      </c>
      <c r="Y26" s="77">
        <f>IF(X26=0,"",IFERROR(X26/C26,""))</f>
        <v/>
      </c>
    </row>
    <row r="27">
      <c r="B27" s="22">
        <f>B8</f>
        <v/>
      </c>
      <c r="C27" s="26">
        <f>IF(Supuestos!$D$45="Arriesgado",C17,C8)</f>
        <v/>
      </c>
      <c r="D27" s="74" t="n"/>
      <c r="E27" s="27">
        <f>IF(D27="","",IFERROR(D27/IF(Supuestos!$D$45="Arriesgado",D17,D8),""))</f>
        <v/>
      </c>
      <c r="F27" s="74" t="n"/>
      <c r="G27" s="27">
        <f>IF(F27="","",IFERROR(F27/IF(Supuestos!$D$45="Arriesgado",E17,E8),""))</f>
        <v/>
      </c>
      <c r="H27" s="74" t="n"/>
      <c r="I27" s="27">
        <f>IF(H27="","",IFERROR(H27/IF(Supuestos!$D$45="Arriesgado",F17,F8),""))</f>
        <v/>
      </c>
      <c r="J27" s="74" t="n"/>
      <c r="K27" s="27">
        <f>IF(J27="","",IFERROR(J27/IF(Supuestos!$D$45="Arriesgado",G17,G8),""))</f>
        <v/>
      </c>
      <c r="L27" s="74" t="n"/>
      <c r="M27" s="27">
        <f>IF(L27="","",IFERROR(L27/IF(Supuestos!$D$45="Arriesgado",H17,H8),""))</f>
        <v/>
      </c>
      <c r="N27" s="74" t="n"/>
      <c r="O27" s="27">
        <f>IF(N27="","",IFERROR(N27/IF(Supuestos!$D$45="Arriesgado",I17,I8),""))</f>
        <v/>
      </c>
      <c r="P27" s="74" t="n"/>
      <c r="Q27" s="27">
        <f>IF(P27="","",IFERROR(P27/IF(Supuestos!$D$45="Arriesgado",J17,J8),""))</f>
        <v/>
      </c>
      <c r="R27" s="74" t="n"/>
      <c r="S27" s="27">
        <f>IF(R27="","",IFERROR(R27/IF(Supuestos!$D$45="Arriesgado",K17,K8),""))</f>
        <v/>
      </c>
      <c r="T27" s="74" t="n"/>
      <c r="U27" s="27">
        <f>IF(T27="","",IFERROR(T27/IF(Supuestos!$D$45="Arriesgado",L17,L8),""))</f>
        <v/>
      </c>
      <c r="V27" s="74" t="n"/>
      <c r="W27" s="27">
        <f>IF(V27="","",IFERROR(V27/IF(Supuestos!$D$45="Arriesgado",M17,M8),""))</f>
        <v/>
      </c>
      <c r="X27" s="43">
        <f>SUM(D27,F27,H27,J27,L27,N27,P27,R27,T27,V27)</f>
        <v/>
      </c>
      <c r="Y27" s="78">
        <f>IF(X27=0,"",IFERROR(X27/C27,""))</f>
        <v/>
      </c>
    </row>
    <row r="28">
      <c r="B28" s="17">
        <f>B9</f>
        <v/>
      </c>
      <c r="C28" s="18">
        <f>IF(Supuestos!$D$45="Arriesgado",C18,C9)</f>
        <v/>
      </c>
      <c r="D28" s="74" t="n"/>
      <c r="E28" s="21">
        <f>IF(D28="","",IFERROR(D28/IF(Supuestos!$D$45="Arriesgado",D18,D9),""))</f>
        <v/>
      </c>
      <c r="F28" s="74" t="n"/>
      <c r="G28" s="21">
        <f>IF(F28="","",IFERROR(F28/IF(Supuestos!$D$45="Arriesgado",E18,E9),""))</f>
        <v/>
      </c>
      <c r="H28" s="74" t="n"/>
      <c r="I28" s="21">
        <f>IF(H28="","",IFERROR(H28/IF(Supuestos!$D$45="Arriesgado",F18,F9),""))</f>
        <v/>
      </c>
      <c r="J28" s="74" t="n"/>
      <c r="K28" s="21">
        <f>IF(J28="","",IFERROR(J28/IF(Supuestos!$D$45="Arriesgado",G18,G9),""))</f>
        <v/>
      </c>
      <c r="L28" s="74" t="n"/>
      <c r="M28" s="21">
        <f>IF(L28="","",IFERROR(L28/IF(Supuestos!$D$45="Arriesgado",H18,H9),""))</f>
        <v/>
      </c>
      <c r="N28" s="74" t="n"/>
      <c r="O28" s="21">
        <f>IF(N28="","",IFERROR(N28/IF(Supuestos!$D$45="Arriesgado",I18,I9),""))</f>
        <v/>
      </c>
      <c r="P28" s="74" t="n"/>
      <c r="Q28" s="21">
        <f>IF(P28="","",IFERROR(P28/IF(Supuestos!$D$45="Arriesgado",J18,J9),""))</f>
        <v/>
      </c>
      <c r="R28" s="74" t="n"/>
      <c r="S28" s="21">
        <f>IF(R28="","",IFERROR(R28/IF(Supuestos!$D$45="Arriesgado",K18,K9),""))</f>
        <v/>
      </c>
      <c r="T28" s="74" t="n"/>
      <c r="U28" s="21">
        <f>IF(T28="","",IFERROR(T28/IF(Supuestos!$D$45="Arriesgado",L18,L9),""))</f>
        <v/>
      </c>
      <c r="V28" s="74" t="n"/>
      <c r="W28" s="21">
        <f>IF(V28="","",IFERROR(V28/IF(Supuestos!$D$45="Arriesgado",M18,M9),""))</f>
        <v/>
      </c>
      <c r="X28" s="19">
        <f>SUM(D28,F28,H28,J28,L28,N28,P28,R28,T28,V28)</f>
        <v/>
      </c>
      <c r="Y28" s="77">
        <f>IF(X28=0,"",IFERROR(X28/C28,""))</f>
        <v/>
      </c>
    </row>
    <row r="29">
      <c r="B29" s="22">
        <f>B10</f>
        <v/>
      </c>
      <c r="C29" s="26">
        <f>IF(Supuestos!$D$45="Arriesgado",C19,C10)</f>
        <v/>
      </c>
      <c r="D29" s="74" t="n"/>
      <c r="E29" s="27">
        <f>IF(D29="","",IFERROR(D29/IF(Supuestos!$D$45="Arriesgado",D19,D10),""))</f>
        <v/>
      </c>
      <c r="F29" s="74" t="n"/>
      <c r="G29" s="27">
        <f>IF(F29="","",IFERROR(F29/IF(Supuestos!$D$45="Arriesgado",E19,E10),""))</f>
        <v/>
      </c>
      <c r="H29" s="74" t="n"/>
      <c r="I29" s="27">
        <f>IF(H29="","",IFERROR(H29/IF(Supuestos!$D$45="Arriesgado",F19,F10),""))</f>
        <v/>
      </c>
      <c r="J29" s="74" t="n"/>
      <c r="K29" s="27">
        <f>IF(J29="","",IFERROR(J29/IF(Supuestos!$D$45="Arriesgado",G19,G10),""))</f>
        <v/>
      </c>
      <c r="L29" s="74" t="n"/>
      <c r="M29" s="27">
        <f>IF(L29="","",IFERROR(L29/IF(Supuestos!$D$45="Arriesgado",H19,H10),""))</f>
        <v/>
      </c>
      <c r="N29" s="74" t="n"/>
      <c r="O29" s="27">
        <f>IF(N29="","",IFERROR(N29/IF(Supuestos!$D$45="Arriesgado",I19,I10),""))</f>
        <v/>
      </c>
      <c r="P29" s="74" t="n"/>
      <c r="Q29" s="27">
        <f>IF(P29="","",IFERROR(P29/IF(Supuestos!$D$45="Arriesgado",J19,J10),""))</f>
        <v/>
      </c>
      <c r="R29" s="74" t="n"/>
      <c r="S29" s="27">
        <f>IF(R29="","",IFERROR(R29/IF(Supuestos!$D$45="Arriesgado",K19,K10),""))</f>
        <v/>
      </c>
      <c r="T29" s="74" t="n"/>
      <c r="U29" s="27">
        <f>IF(T29="","",IFERROR(T29/IF(Supuestos!$D$45="Arriesgado",L19,L10),""))</f>
        <v/>
      </c>
      <c r="V29" s="74" t="n"/>
      <c r="W29" s="27">
        <f>IF(V29="","",IFERROR(V29/IF(Supuestos!$D$45="Arriesgado",M19,M10),""))</f>
        <v/>
      </c>
      <c r="X29" s="43">
        <f>SUM(D29,F29,H29,J29,L29,N29,P29,R29,T29,V29)</f>
        <v/>
      </c>
      <c r="Y29" s="78">
        <f>IF(X29=0,"",IFERROR(X29/C29,""))</f>
        <v/>
      </c>
    </row>
    <row r="30" ht="20" customHeight="1">
      <c r="B30" s="32" t="inlineStr">
        <is>
          <t>Total</t>
        </is>
      </c>
      <c r="C30" s="33">
        <f>SUM(C26:C29)</f>
        <v/>
      </c>
      <c r="D30" s="70">
        <f>IF(COUNT(D26:D29)=0,"",SUM(D26:D29))</f>
        <v/>
      </c>
      <c r="E30" s="34">
        <f>IF(D30="","",IFERROR(D30/IF(Supuestos!$D$45="Arriesgado",D20,D11),""))</f>
        <v/>
      </c>
      <c r="F30" s="70">
        <f>IF(COUNT(F26:F29)=0,"",SUM(F26:F29))</f>
        <v/>
      </c>
      <c r="G30" s="34">
        <f>IF(F30="","",IFERROR(F30/IF(Supuestos!$D$45="Arriesgado",E20,E11),""))</f>
        <v/>
      </c>
      <c r="H30" s="70">
        <f>IF(COUNT(H26:H29)=0,"",SUM(H26:H29))</f>
        <v/>
      </c>
      <c r="I30" s="34">
        <f>IF(H30="","",IFERROR(H30/IF(Supuestos!$D$45="Arriesgado",F20,F11),""))</f>
        <v/>
      </c>
      <c r="J30" s="70">
        <f>IF(COUNT(J26:J29)=0,"",SUM(J26:J29))</f>
        <v/>
      </c>
      <c r="K30" s="34">
        <f>IF(J30="","",IFERROR(J30/IF(Supuestos!$D$45="Arriesgado",G20,G11),""))</f>
        <v/>
      </c>
      <c r="L30" s="70">
        <f>IF(COUNT(L26:L29)=0,"",SUM(L26:L29))</f>
        <v/>
      </c>
      <c r="M30" s="34">
        <f>IF(L30="","",IFERROR(L30/IF(Supuestos!$D$45="Arriesgado",H20,H11),""))</f>
        <v/>
      </c>
      <c r="N30" s="70">
        <f>IF(COUNT(N26:N29)=0,"",SUM(N26:N29))</f>
        <v/>
      </c>
      <c r="O30" s="34">
        <f>IF(N30="","",IFERROR(N30/IF(Supuestos!$D$45="Arriesgado",I20,I11),""))</f>
        <v/>
      </c>
      <c r="P30" s="70">
        <f>IF(COUNT(P26:P29)=0,"",SUM(P26:P29))</f>
        <v/>
      </c>
      <c r="Q30" s="34">
        <f>IF(P30="","",IFERROR(P30/IF(Supuestos!$D$45="Arriesgado",J20,J11),""))</f>
        <v/>
      </c>
      <c r="R30" s="70">
        <f>IF(COUNT(R26:R29)=0,"",SUM(R26:R29))</f>
        <v/>
      </c>
      <c r="S30" s="34">
        <f>IF(R30="","",IFERROR(R30/IF(Supuestos!$D$45="Arriesgado",K20,K11),""))</f>
        <v/>
      </c>
      <c r="T30" s="70">
        <f>IF(COUNT(T26:T29)=0,"",SUM(T26:T29))</f>
        <v/>
      </c>
      <c r="U30" s="34">
        <f>IF(T30="","",IFERROR(T30/IF(Supuestos!$D$45="Arriesgado",L20,L11),""))</f>
        <v/>
      </c>
      <c r="V30" s="70">
        <f>IF(COUNT(V26:V29)=0,"",SUM(V26:V29))</f>
        <v/>
      </c>
      <c r="W30" s="34">
        <f>IF(V30="","",IFERROR(V30/IF(Supuestos!$D$45="Arriesgado",M20,M11),""))</f>
        <v/>
      </c>
      <c r="X30" s="33">
        <f>SUM(X26:X29)</f>
        <v/>
      </c>
      <c r="Y30" s="34">
        <f>IF(X30=0,"",IFERROR(X30/C30,""))</f>
        <v/>
      </c>
    </row>
    <row r="31">
      <c r="B31" s="35" t="inlineStr">
        <is>
          <t>Cargar el consumo real de cada día. El % compara contra el plan del día: en verde entre 90 % y 110 %, en rosa fuera de ese rango.</t>
        </is>
      </c>
    </row>
  </sheetData>
  <conditionalFormatting sqref="D7:M10">
    <cfRule type="colorScale" priority="1">
      <colorScale>
        <cfvo type="min"/>
        <cfvo type="max"/>
        <color rgb="00FFFFFF"/>
        <color rgb="0059D7A2"/>
      </colorScale>
    </cfRule>
  </conditionalFormatting>
  <conditionalFormatting sqref="D16:M19">
    <cfRule type="colorScale" priority="2">
      <colorScale>
        <cfvo type="min"/>
        <cfvo type="max"/>
        <color rgb="00FFFFFF"/>
        <color rgb="0059D7A2"/>
      </colorScale>
    </cfRule>
  </conditionalFormatting>
  <conditionalFormatting sqref="E26:E30">
    <cfRule type="cellIs" priority="3" operator="between" dxfId="0">
      <formula>0.9</formula>
      <formula>1.1</formula>
    </cfRule>
    <cfRule type="cellIs" priority="4" operator="notBetween" dxfId="1">
      <formula>0.9</formula>
      <formula>1.1</formula>
    </cfRule>
  </conditionalFormatting>
  <conditionalFormatting sqref="G26:G30">
    <cfRule type="cellIs" priority="5" operator="between" dxfId="0">
      <formula>0.9</formula>
      <formula>1.1</formula>
    </cfRule>
    <cfRule type="cellIs" priority="6" operator="notBetween" dxfId="1">
      <formula>0.9</formula>
      <formula>1.1</formula>
    </cfRule>
  </conditionalFormatting>
  <conditionalFormatting sqref="I26:I30">
    <cfRule type="cellIs" priority="7" operator="between" dxfId="0">
      <formula>0.9</formula>
      <formula>1.1</formula>
    </cfRule>
    <cfRule type="cellIs" priority="8" operator="notBetween" dxfId="1">
      <formula>0.9</formula>
      <formula>1.1</formula>
    </cfRule>
  </conditionalFormatting>
  <conditionalFormatting sqref="K26:K30">
    <cfRule type="cellIs" priority="9" operator="between" dxfId="0">
      <formula>0.9</formula>
      <formula>1.1</formula>
    </cfRule>
    <cfRule type="cellIs" priority="10" operator="notBetween" dxfId="1">
      <formula>0.9</formula>
      <formula>1.1</formula>
    </cfRule>
  </conditionalFormatting>
  <conditionalFormatting sqref="M26:M30">
    <cfRule type="cellIs" priority="11" operator="between" dxfId="0">
      <formula>0.9</formula>
      <formula>1.1</formula>
    </cfRule>
    <cfRule type="cellIs" priority="12" operator="notBetween" dxfId="1">
      <formula>0.9</formula>
      <formula>1.1</formula>
    </cfRule>
  </conditionalFormatting>
  <conditionalFormatting sqref="O26:O30">
    <cfRule type="cellIs" priority="13" operator="between" dxfId="0">
      <formula>0.9</formula>
      <formula>1.1</formula>
    </cfRule>
    <cfRule type="cellIs" priority="14" operator="notBetween" dxfId="1">
      <formula>0.9</formula>
      <formula>1.1</formula>
    </cfRule>
  </conditionalFormatting>
  <conditionalFormatting sqref="Q26:Q30">
    <cfRule type="cellIs" priority="15" operator="between" dxfId="0">
      <formula>0.9</formula>
      <formula>1.1</formula>
    </cfRule>
    <cfRule type="cellIs" priority="16" operator="notBetween" dxfId="1">
      <formula>0.9</formula>
      <formula>1.1</formula>
    </cfRule>
  </conditionalFormatting>
  <conditionalFormatting sqref="S26:S30">
    <cfRule type="cellIs" priority="17" operator="between" dxfId="0">
      <formula>0.9</formula>
      <formula>1.1</formula>
    </cfRule>
    <cfRule type="cellIs" priority="18" operator="notBetween" dxfId="1">
      <formula>0.9</formula>
      <formula>1.1</formula>
    </cfRule>
  </conditionalFormatting>
  <conditionalFormatting sqref="U26:U30">
    <cfRule type="cellIs" priority="19" operator="between" dxfId="0">
      <formula>0.9</formula>
      <formula>1.1</formula>
    </cfRule>
    <cfRule type="cellIs" priority="20" operator="notBetween" dxfId="1">
      <formula>0.9</formula>
      <formula>1.1</formula>
    </cfRule>
  </conditionalFormatting>
  <conditionalFormatting sqref="W26:W30">
    <cfRule type="cellIs" priority="21" operator="between" dxfId="0">
      <formula>0.9</formula>
      <formula>1.1</formula>
    </cfRule>
    <cfRule type="cellIs" priority="22" operator="notBetween" dxfId="1">
      <formula>0.9</formula>
      <formula>1.1</formula>
    </cfRule>
  </conditionalFormatting>
  <conditionalFormatting sqref="Y26:Y30">
    <cfRule type="cellIs" priority="23" operator="between" dxfId="0">
      <formula>0.9</formula>
      <formula>1.1</formula>
    </cfRule>
    <cfRule type="cellIs" priority="24" operator="notBetween" dxfId="1">
      <formula>0.9</formula>
      <formula>1.1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59D7A2"/>
    <outlinePr summaryBelow="1" summaryRight="1"/>
    <pageSetUpPr fitToPage="1"/>
  </sheetPr>
  <dimension ref="B2:D28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34" customWidth="1" min="2" max="2"/>
    <col width="50" customWidth="1" min="3" max="3"/>
    <col width="18" customWidth="1" min="4" max="4"/>
  </cols>
  <sheetData>
    <row r="2">
      <c r="B2" s="1" t="inlineStr">
        <is>
          <t>zenda.</t>
        </is>
      </c>
    </row>
    <row r="3" ht="28" customHeight="1">
      <c r="B3" s="2" t="inlineStr">
        <is>
          <t>Audiencias y señales</t>
        </is>
      </c>
    </row>
    <row r="5" ht="24" customHeight="1">
      <c r="B5" s="14" t="inlineStr">
        <is>
          <t>LINKEDIN ADS · BOOST DE POSTS</t>
        </is>
      </c>
      <c r="C5" s="15" t="n"/>
      <c r="D5" s="15" t="n"/>
    </row>
    <row r="6" ht="30" customHeight="1">
      <c r="B6" s="16" t="inlineStr">
        <is>
          <t>Dato</t>
        </is>
      </c>
      <c r="C6" s="16" t="inlineStr">
        <is>
          <t>Detalle</t>
        </is>
      </c>
      <c r="D6" s="16" t="inlineStr">
        <is>
          <t>Estado</t>
        </is>
      </c>
    </row>
    <row r="7">
      <c r="B7" s="17" t="inlineStr">
        <is>
          <t>Audiencia guardada</t>
        </is>
      </c>
      <c r="C7" s="42" t="n"/>
      <c r="D7" s="42" t="n"/>
    </row>
    <row r="8">
      <c r="B8" s="22" t="inlineStr">
        <is>
          <t>Tamaño estimado</t>
        </is>
      </c>
      <c r="C8" s="46" t="n"/>
      <c r="D8" s="46" t="n"/>
    </row>
    <row r="9">
      <c r="B9" s="17" t="inlineStr">
        <is>
          <t>Ubicación</t>
        </is>
      </c>
      <c r="C9" s="42" t="n"/>
      <c r="D9" s="42" t="n"/>
    </row>
    <row r="10">
      <c r="B10" s="22" t="inlineStr">
        <is>
          <t>Cargos / seniority</t>
        </is>
      </c>
      <c r="C10" s="46" t="n"/>
      <c r="D10" s="46" t="n"/>
    </row>
    <row r="11">
      <c r="B11" s="17" t="inlineStr">
        <is>
          <t>Industrias</t>
        </is>
      </c>
      <c r="C11" s="42" t="n"/>
      <c r="D11" s="42" t="n"/>
    </row>
    <row r="12">
      <c r="B12" s="22" t="inlineStr">
        <is>
          <t>Tamaño de empresa</t>
        </is>
      </c>
      <c r="C12" s="46" t="n"/>
      <c r="D12" s="46" t="n"/>
    </row>
    <row r="14" ht="24" customHeight="1">
      <c r="B14" s="14" t="inlineStr">
        <is>
          <t>META ADS · TRÁFICO WEB</t>
        </is>
      </c>
      <c r="C14" s="15" t="n"/>
      <c r="D14" s="15" t="n"/>
    </row>
    <row r="15" ht="30" customHeight="1">
      <c r="B15" s="16" t="inlineStr">
        <is>
          <t>Dato</t>
        </is>
      </c>
      <c r="C15" s="16" t="inlineStr">
        <is>
          <t>Detalle</t>
        </is>
      </c>
      <c r="D15" s="16" t="inlineStr">
        <is>
          <t>Estado</t>
        </is>
      </c>
    </row>
    <row r="16">
      <c r="B16" s="17" t="inlineStr">
        <is>
          <t>Grupo 1: público similar</t>
        </is>
      </c>
      <c r="C16" s="42" t="n"/>
      <c r="D16" s="42" t="n"/>
    </row>
    <row r="17">
      <c r="B17" s="22" t="inlineStr">
        <is>
          <t>Base de origen</t>
        </is>
      </c>
      <c r="C17" s="46" t="n"/>
      <c r="D17" s="46" t="n"/>
    </row>
    <row r="18">
      <c r="B18" s="17" t="inlineStr">
        <is>
          <t>Porcentaje de similitud</t>
        </is>
      </c>
      <c r="C18" s="42" t="n"/>
      <c r="D18" s="42" t="n"/>
    </row>
    <row r="19">
      <c r="B19" s="22" t="inlineStr">
        <is>
          <t>Grupo 2: remarketing</t>
        </is>
      </c>
      <c r="C19" s="46" t="n"/>
      <c r="D19" s="46" t="n"/>
    </row>
    <row r="20">
      <c r="B20" s="17" t="inlineStr">
        <is>
          <t>Base de datos</t>
        </is>
      </c>
      <c r="C20" s="42" t="n"/>
      <c r="D20" s="42" t="n"/>
    </row>
    <row r="21">
      <c r="B21" s="22" t="inlineStr">
        <is>
          <t>Tamaño de la base</t>
        </is>
      </c>
      <c r="C21" s="46" t="n"/>
      <c r="D21" s="46" t="n"/>
    </row>
    <row r="23" ht="24" customHeight="1">
      <c r="B23" s="14" t="inlineStr">
        <is>
          <t>GOOGLE ADS · PERFORMANCE MAX</t>
        </is>
      </c>
      <c r="C23" s="15" t="n"/>
      <c r="D23" s="15" t="n"/>
    </row>
    <row r="24" ht="30" customHeight="1">
      <c r="B24" s="16" t="inlineStr">
        <is>
          <t>Dato</t>
        </is>
      </c>
      <c r="C24" s="16" t="inlineStr">
        <is>
          <t>Detalle</t>
        </is>
      </c>
      <c r="D24" s="16" t="inlineStr">
        <is>
          <t>Estado</t>
        </is>
      </c>
    </row>
    <row r="25">
      <c r="B25" s="17" t="inlineStr">
        <is>
          <t>Señal: términos de búsqueda</t>
        </is>
      </c>
      <c r="C25" s="42" t="n"/>
      <c r="D25" s="42" t="n"/>
    </row>
    <row r="26">
      <c r="B26" s="22" t="inlineStr">
        <is>
          <t>Señal: remarketing</t>
        </is>
      </c>
      <c r="C26" s="46" t="n"/>
      <c r="D26" s="46" t="n"/>
    </row>
    <row r="27">
      <c r="B27" s="17" t="inlineStr">
        <is>
          <t>Mensaje central</t>
        </is>
      </c>
      <c r="C27" s="42" t="inlineStr">
        <is>
          <t>¿Tu logística aguanta el pico de ventas?</t>
        </is>
      </c>
      <c r="D27" s="42" t="n"/>
    </row>
    <row r="28">
      <c r="B28" s="22" t="inlineStr">
        <is>
          <t>URL final</t>
        </is>
      </c>
      <c r="C28" s="46" t="n"/>
      <c r="D28" s="46" t="n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59D7A2"/>
    <outlinePr summaryBelow="1" summaryRight="1"/>
    <pageSetUpPr fitToPage="1"/>
  </sheetPr>
  <dimension ref="B2:L52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40" customWidth="1" min="2" max="2"/>
    <col width="18" customWidth="1" min="3" max="3"/>
    <col width="18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>
      <c r="B2" s="1" t="inlineStr">
        <is>
          <t>zenda.</t>
        </is>
      </c>
    </row>
    <row r="3" ht="28" customHeight="1">
      <c r="B3" s="2" t="inlineStr">
        <is>
          <t>Supuestos del Media Plan</t>
        </is>
      </c>
    </row>
    <row r="6" ht="24" customHeight="1">
      <c r="B6" s="14" t="inlineStr">
        <is>
          <t>FECHAS</t>
        </is>
      </c>
      <c r="C6" s="15" t="n"/>
      <c r="D6" s="15" t="n"/>
      <c r="E6" s="15" t="n"/>
    </row>
    <row r="7" ht="30" customHeight="1">
      <c r="B7" s="16" t="inlineStr">
        <is>
          <t>Etapa</t>
        </is>
      </c>
      <c r="C7" s="16" t="inlineStr">
        <is>
          <t>Inicio</t>
        </is>
      </c>
      <c r="D7" s="16" t="inlineStr">
        <is>
          <t>Fin</t>
        </is>
      </c>
      <c r="E7" s="16" t="inlineStr">
        <is>
          <t>Días</t>
        </is>
      </c>
    </row>
    <row r="8">
      <c r="B8" s="17" t="inlineStr">
        <is>
          <t>Previa al evento</t>
        </is>
      </c>
      <c r="C8" s="79" t="n">
        <v>46321</v>
      </c>
      <c r="D8" s="79" t="n">
        <v>46327</v>
      </c>
      <c r="E8" s="28">
        <f>D8-C8+1</f>
        <v/>
      </c>
    </row>
    <row r="9">
      <c r="B9" s="17" t="inlineStr">
        <is>
          <t>Cyber Monday</t>
        </is>
      </c>
      <c r="C9" s="79" t="n">
        <v>46328</v>
      </c>
      <c r="D9" s="79" t="n">
        <v>46330</v>
      </c>
      <c r="E9" s="28">
        <f>D9-C9+1</f>
        <v/>
      </c>
    </row>
    <row r="10" ht="20" customHeight="1">
      <c r="B10" s="32" t="inlineStr">
        <is>
          <t>Flight total</t>
        </is>
      </c>
      <c r="C10" s="80">
        <f>C8</f>
        <v/>
      </c>
      <c r="D10" s="80">
        <f>D9</f>
        <v/>
      </c>
      <c r="E10" s="71">
        <f>E8+E9</f>
        <v/>
      </c>
    </row>
    <row r="12" ht="24" customHeight="1">
      <c r="B12" s="14" t="inlineStr">
        <is>
          <t>DÍA COMÚN B2B ARGENTINA</t>
        </is>
      </c>
      <c r="C12" s="15" t="n"/>
      <c r="D12" s="15" t="n"/>
      <c r="E12" s="15" t="n"/>
      <c r="F12" s="15" t="n"/>
    </row>
    <row r="13" ht="30" customHeight="1">
      <c r="B13" s="16" t="inlineStr">
        <is>
          <t>Medio</t>
        </is>
      </c>
      <c r="C13" s="16" t="inlineStr">
        <is>
          <t>Inversión del período</t>
        </is>
      </c>
      <c r="D13" s="16" t="inlineStr">
        <is>
          <t>Días</t>
        </is>
      </c>
      <c r="E13" s="16" t="inlineStr">
        <is>
          <t>Inversión diaria</t>
        </is>
      </c>
      <c r="F13" s="16" t="inlineStr"/>
    </row>
    <row r="14">
      <c r="B14" s="17" t="inlineStr">
        <is>
          <t>LinkedIn Ads</t>
        </is>
      </c>
      <c r="C14" s="74" t="n">
        <v>394682.1</v>
      </c>
      <c r="D14" s="81" t="n">
        <v>30</v>
      </c>
      <c r="E14" s="18">
        <f>IFERROR(C14/D14,"")</f>
        <v/>
      </c>
      <c r="F14" s="42" t="n"/>
    </row>
    <row r="15">
      <c r="B15" s="22" t="inlineStr">
        <is>
          <t>Meta Ads</t>
        </is>
      </c>
      <c r="C15" s="74" t="n">
        <v>259305.43</v>
      </c>
      <c r="D15" s="81" t="n">
        <v>30</v>
      </c>
      <c r="E15" s="26">
        <f>IFERROR(C15/D15,"")</f>
        <v/>
      </c>
      <c r="F15" s="46" t="n"/>
    </row>
    <row r="16">
      <c r="B16" s="17" t="inlineStr">
        <is>
          <t>Google Ads</t>
        </is>
      </c>
      <c r="C16" s="74" t="n">
        <v>2984777.29</v>
      </c>
      <c r="D16" s="81" t="n">
        <v>30</v>
      </c>
      <c r="E16" s="18">
        <f>IFERROR(C16/D16,"")</f>
        <v/>
      </c>
      <c r="F16" s="42" t="n"/>
    </row>
    <row r="17" ht="20" customHeight="1">
      <c r="B17" s="32" t="inlineStr">
        <is>
          <t>Día común B2B Argentina</t>
        </is>
      </c>
      <c r="C17" s="70">
        <f>SUM(C14:C16)</f>
        <v/>
      </c>
      <c r="D17" s="69" t="n"/>
      <c r="E17" s="33">
        <f>SUM(E14:E16)</f>
        <v/>
      </c>
      <c r="F17" s="69" t="n"/>
    </row>
    <row r="18">
      <c r="B18" s="35" t="inlineStr">
        <is>
          <t>Fuente: inversión real de las campañas B2B de Argentina en Google Ads, Meta Ads y LinkedIn Ads, 15/09 al 14/10/2026. LinkedIn incluye el boost de contenido AR &amp; MX.</t>
        </is>
      </c>
    </row>
    <row r="20" ht="24" customHeight="1">
      <c r="B20" s="14" t="inlineStr">
        <is>
          <t>PRESUPUESTO POR ESCENARIO</t>
        </is>
      </c>
      <c r="C20" s="15" t="n"/>
      <c r="D20" s="15" t="n"/>
      <c r="E20" s="15" t="n"/>
      <c r="F20" s="15" t="n"/>
    </row>
    <row r="21" ht="30" customHeight="1">
      <c r="B21" s="16" t="inlineStr">
        <is>
          <t>Escenario</t>
        </is>
      </c>
      <c r="C21" s="16" t="inlineStr">
        <is>
          <t>Inversión diaria vs. día común</t>
        </is>
      </c>
      <c r="D21" s="16" t="inlineStr">
        <is>
          <t>Inversión diaria</t>
        </is>
      </c>
      <c r="E21" s="16" t="inlineStr">
        <is>
          <t>Inversión total</t>
        </is>
      </c>
      <c r="F21" s="16" t="inlineStr"/>
    </row>
    <row r="22">
      <c r="B22" s="17" t="inlineStr">
        <is>
          <t>Conservador</t>
        </is>
      </c>
      <c r="C22" s="82" t="n">
        <v>1.5</v>
      </c>
      <c r="D22" s="18">
        <f>Supuestos!$E$17*C22</f>
        <v/>
      </c>
      <c r="E22" s="19">
        <f>ROUND(D22*Supuestos!$E$10,-3)</f>
        <v/>
      </c>
      <c r="F22" s="42" t="n"/>
    </row>
    <row r="23">
      <c r="B23" s="22" t="inlineStr">
        <is>
          <t>Arriesgado</t>
        </is>
      </c>
      <c r="C23" s="82" t="n">
        <v>3</v>
      </c>
      <c r="D23" s="26">
        <f>Supuestos!$E$17*C23</f>
        <v/>
      </c>
      <c r="E23" s="43">
        <f>ROUND(D23*Supuestos!$E$10,-3)</f>
        <v/>
      </c>
      <c r="F23" s="46" t="n"/>
    </row>
    <row r="24">
      <c r="B24" s="35" t="inlineStr">
        <is>
          <t>El presupuesto total sale de multiplicar la inversión de un día común por el factor del escenario y por los días del flight.</t>
        </is>
      </c>
    </row>
    <row r="26" ht="24" customHeight="1">
      <c r="B26" s="14" t="inlineStr">
        <is>
          <t>AUDIENCIA DE LINKEDIN</t>
        </is>
      </c>
      <c r="C26" s="15" t="n"/>
      <c r="D26" s="15" t="n"/>
      <c r="E26" s="15" t="n"/>
    </row>
    <row r="27">
      <c r="B27" s="17" t="inlineStr">
        <is>
          <t>Tamaño de la audiencia (miembros)</t>
        </is>
      </c>
      <c r="D27" s="81" t="n">
        <v>120000</v>
      </c>
    </row>
    <row r="28">
      <c r="B28" s="17" t="inlineStr">
        <is>
          <t>Cobertura máxima en el flight</t>
        </is>
      </c>
      <c r="D28" s="55" t="n">
        <v>0.5</v>
      </c>
    </row>
    <row r="29">
      <c r="B29" s="17" t="inlineStr">
        <is>
          <t>Alcance máximo</t>
        </is>
      </c>
      <c r="D29" s="29">
        <f>D27*D28</f>
        <v/>
      </c>
    </row>
    <row r="30">
      <c r="B30" s="17" t="inlineStr">
        <is>
          <t>Frecuencia mínima por persona</t>
        </is>
      </c>
      <c r="D30" s="83" t="n">
        <v>2.5</v>
      </c>
    </row>
    <row r="31">
      <c r="B31" s="35" t="inlineStr">
        <is>
          <t>Alcance = impresiones / frecuencia mínima, hasta el alcance máximo de la audiencia.</t>
        </is>
      </c>
    </row>
    <row r="33" ht="24" customHeight="1">
      <c r="B33" s="14" t="inlineStr">
        <is>
          <t>AJUSTE DE COSTOS POR TEMPORADA</t>
        </is>
      </c>
      <c r="C33" s="15" t="n"/>
      <c r="D33" s="15" t="n"/>
      <c r="E33" s="15" t="n"/>
    </row>
    <row r="34">
      <c r="B34" s="17" t="inlineStr">
        <is>
          <t>Suba de CPM y CPC durante el flight</t>
        </is>
      </c>
      <c r="D34" s="55" t="n">
        <v>0.15</v>
      </c>
    </row>
    <row r="35">
      <c r="B35" s="35" t="inlineStr">
        <is>
          <t>Las subastas se encarecen en la semana del Cyber Monday porque todos los anunciantes aumentan su inversión.</t>
        </is>
      </c>
    </row>
    <row r="37" ht="24" customHeight="1">
      <c r="B37" s="14" t="inlineStr">
        <is>
          <t>DISTRIBUCIÓN DIARIA DE LA INVERSIÓN</t>
        </is>
      </c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 ht="30" customHeight="1">
      <c r="B38" s="16" t="inlineStr"/>
      <c r="C38" s="16" t="inlineStr">
        <is>
          <t>Día 1</t>
        </is>
      </c>
      <c r="D38" s="16" t="inlineStr">
        <is>
          <t>Día 2</t>
        </is>
      </c>
      <c r="E38" s="16" t="inlineStr">
        <is>
          <t>Día 3</t>
        </is>
      </c>
      <c r="F38" s="16" t="inlineStr">
        <is>
          <t>Día 4</t>
        </is>
      </c>
      <c r="G38" s="16" t="inlineStr">
        <is>
          <t>Día 5</t>
        </is>
      </c>
      <c r="H38" s="16" t="inlineStr">
        <is>
          <t>Día 6</t>
        </is>
      </c>
      <c r="I38" s="16" t="inlineStr">
        <is>
          <t>Día 7</t>
        </is>
      </c>
      <c r="J38" s="16" t="inlineStr">
        <is>
          <t>Día 8</t>
        </is>
      </c>
      <c r="K38" s="16" t="inlineStr">
        <is>
          <t>Día 9</t>
        </is>
      </c>
      <c r="L38" s="16" t="inlineStr">
        <is>
          <t>Día 10</t>
        </is>
      </c>
    </row>
    <row r="39">
      <c r="B39" s="17" t="inlineStr">
        <is>
          <t>Fecha</t>
        </is>
      </c>
      <c r="C39" s="84">
        <f>Supuestos!$C$8+0</f>
        <v/>
      </c>
      <c r="D39" s="84">
        <f>Supuestos!$C$8+1</f>
        <v/>
      </c>
      <c r="E39" s="84">
        <f>Supuestos!$C$8+2</f>
        <v/>
      </c>
      <c r="F39" s="84">
        <f>Supuestos!$C$8+3</f>
        <v/>
      </c>
      <c r="G39" s="84">
        <f>Supuestos!$C$8+4</f>
        <v/>
      </c>
      <c r="H39" s="84">
        <f>Supuestos!$C$8+5</f>
        <v/>
      </c>
      <c r="I39" s="84">
        <f>Supuestos!$C$8+6</f>
        <v/>
      </c>
      <c r="J39" s="84">
        <f>Supuestos!$C$8+7</f>
        <v/>
      </c>
      <c r="K39" s="84">
        <f>Supuestos!$C$8+8</f>
        <v/>
      </c>
      <c r="L39" s="84">
        <f>Supuestos!$C$8+9</f>
        <v/>
      </c>
    </row>
    <row r="40">
      <c r="B40" s="17" t="inlineStr">
        <is>
          <t>% de la inversión</t>
        </is>
      </c>
      <c r="C40" s="55" t="n">
        <v>0.07000000000000001</v>
      </c>
      <c r="D40" s="55" t="n">
        <v>0.07000000000000001</v>
      </c>
      <c r="E40" s="55" t="n">
        <v>0.08</v>
      </c>
      <c r="F40" s="55" t="n">
        <v>0.08</v>
      </c>
      <c r="G40" s="55" t="n">
        <v>0.08</v>
      </c>
      <c r="H40" s="55" t="n">
        <v>0.08</v>
      </c>
      <c r="I40" s="55" t="n">
        <v>0.09</v>
      </c>
      <c r="J40" s="55" t="n">
        <v>0.15</v>
      </c>
      <c r="K40" s="55" t="n">
        <v>0.15</v>
      </c>
      <c r="L40" s="55" t="n">
        <v>0.15</v>
      </c>
    </row>
    <row r="41" ht="20" customHeight="1">
      <c r="B41" s="32" t="inlineStr">
        <is>
          <t>Total</t>
        </is>
      </c>
      <c r="C41" s="34">
        <f>SUM(C40:L40)</f>
        <v/>
      </c>
      <c r="D41" s="69" t="n"/>
      <c r="E41" s="69" t="n"/>
      <c r="F41" s="69" t="n"/>
      <c r="G41" s="69" t="n"/>
      <c r="H41" s="69" t="n"/>
      <c r="I41" s="69" t="n"/>
      <c r="J41" s="69" t="n"/>
      <c r="K41" s="69" t="n"/>
      <c r="L41" s="69" t="n"/>
    </row>
    <row r="42">
      <c r="B42" s="35" t="inlineStr">
        <is>
          <t>La inversión crece en la previa y los tres días del Cyber Monday concentran el 45 %.</t>
        </is>
      </c>
    </row>
    <row r="44" ht="24" customHeight="1">
      <c r="B44" s="14" t="inlineStr">
        <is>
          <t>ESCENARIO A CONTROLAR EN EL BGT</t>
        </is>
      </c>
      <c r="C44" s="15" t="n"/>
      <c r="D44" s="15" t="n"/>
      <c r="E44" s="15" t="n"/>
    </row>
    <row r="45">
      <c r="B45" s="17" t="inlineStr">
        <is>
          <t>Escenario aprobado</t>
        </is>
      </c>
      <c r="D45" s="85" t="inlineStr">
        <is>
          <t>Conservador</t>
        </is>
      </c>
    </row>
    <row r="47" ht="24" customHeight="1">
      <c r="B47" s="14" t="inlineStr">
        <is>
          <t>CONTROLES</t>
        </is>
      </c>
      <c r="C47" s="15" t="n"/>
      <c r="D47" s="15" t="n"/>
      <c r="E47" s="15" t="n"/>
    </row>
    <row r="48">
      <c r="B48" s="17" t="inlineStr">
        <is>
          <t>Total conservador = presupuesto</t>
        </is>
      </c>
      <c r="D48" s="86">
        <f>IF(ROUND('MP Cyber B2B'!H39-Supuestos!$E$22,0)=0,"OK","REVISAR")</f>
        <v/>
      </c>
    </row>
    <row r="49">
      <c r="B49" s="17" t="inlineStr">
        <is>
          <t>Total arriesgado = presupuesto</t>
        </is>
      </c>
      <c r="D49" s="86">
        <f>IF(ROUND('MP Cyber B2B'!H49-Supuestos!$E$23,0)=0,"OK","REVISAR")</f>
        <v/>
      </c>
    </row>
    <row r="50">
      <c r="B50" s="17" t="inlineStr">
        <is>
          <t>% de cada escenario = 100 %</t>
        </is>
      </c>
      <c r="D50" s="86">
        <f>IF(AND(ROUND('MP Cyber B2B'!G39,4)=1,ROUND('MP Cyber B2B'!G49,4)=1),"OK","REVISAR")</f>
        <v/>
      </c>
    </row>
    <row r="51">
      <c r="B51" s="17" t="inlineStr">
        <is>
          <t>Curva diaria = 100 %</t>
        </is>
      </c>
      <c r="D51" s="86">
        <f>IF(ROUND(C41,4)=1,"OK","REVISAR")</f>
        <v/>
      </c>
    </row>
    <row r="52">
      <c r="B52" s="17" t="inlineStr">
        <is>
          <t>Frecuencia LinkedIn ≤ 10</t>
        </is>
      </c>
      <c r="D52" s="86">
        <f>IF(MAX('MP Cyber B2B'!N34,'MP Cyber B2B'!N44)&lt;=10,"OK","REVISAR")</f>
        <v/>
      </c>
    </row>
  </sheetData>
  <conditionalFormatting sqref="D48:D52">
    <cfRule type="cellIs" priority="1" operator="equal" dxfId="2">
      <formula>"OK"</formula>
    </cfRule>
    <cfRule type="cellIs" priority="2" operator="equal" dxfId="3">
      <formula>"REVISAR"</formula>
    </cfRule>
  </conditionalFormatting>
  <dataValidations count="1">
    <dataValidation sqref="D45" showDropDown="0" showInputMessage="0" showErrorMessage="0" allowBlank="0" type="list">
      <formula1>"Conservador,Arriesgado"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2026-10-15T15:00:25Z</dcterms:created>
  <dcterms:modified xmlns:dcterms="http://purl.org/dc/terms/" xmlns:xsi="http://www.w3.org/2001/XMLSchema-instance" xsi:type="dcterms:W3CDTF">2026-10-15T15:00:26Z</dcterms:modified>
</cp:coreProperties>
</file>