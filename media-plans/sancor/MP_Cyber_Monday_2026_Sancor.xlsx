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P Cyber 2026" sheetId="1" state="visible" r:id="rId1"/>
    <sheet xmlns:r="http://schemas.openxmlformats.org/officeDocument/2006/relationships" name="BGT Diario" sheetId="2" state="visible" r:id="rId2"/>
    <sheet xmlns:r="http://schemas.openxmlformats.org/officeDocument/2006/relationships" name="Supuestos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yyyy-mm-dd"/>
    <numFmt numFmtId="165" formatCode="dd/mm/yyyy"/>
    <numFmt numFmtId="166" formatCode="&quot;$&quot; #,##0"/>
    <numFmt numFmtId="167" formatCode="ddd dd/mm"/>
    <numFmt numFmtId="168" formatCode="#,##0.0"/>
  </numFmts>
  <fonts count="17">
    <font>
      <name val="Calibri"/>
      <family val="2"/>
      <color theme="1"/>
      <sz val="11"/>
      <scheme val="minor"/>
    </font>
    <font>
      <name val="Calibri"/>
      <b val="1"/>
      <color rgb="002FA37A"/>
      <sz val="12"/>
    </font>
    <font>
      <name val="Calibri"/>
      <b val="1"/>
      <color rgb="000A0A0B"/>
      <sz val="18"/>
    </font>
    <font>
      <name val="Calibri"/>
      <i val="1"/>
      <color rgb="006B6B6E"/>
      <sz val="9"/>
    </font>
    <font>
      <name val="Calibri"/>
      <b val="1"/>
      <color rgb="006B6B6E"/>
      <sz val="9"/>
    </font>
    <font>
      <name val="Calibri"/>
      <color rgb="001155CC"/>
      <sz val="10"/>
    </font>
    <font>
      <name val="Calibri"/>
      <color rgb="000A0A0B"/>
      <sz val="10"/>
    </font>
    <font>
      <name val="Calibri"/>
      <b val="1"/>
      <color rgb="00E71CA2"/>
      <sz val="10"/>
    </font>
    <font>
      <name val="Calibri"/>
      <b val="1"/>
      <color rgb="00FFFFFF"/>
      <sz val="12"/>
    </font>
    <font>
      <name val="Calibri"/>
      <b val="1"/>
      <color rgb="000A0A0B"/>
      <sz val="10"/>
    </font>
    <font>
      <name val="Calibri"/>
      <b val="1"/>
      <color rgb="002FA37A"/>
      <sz val="10"/>
    </font>
    <font>
      <name val="Calibri"/>
      <b val="1"/>
      <color rgb="000A0A0B"/>
      <sz val="11"/>
    </font>
    <font>
      <name val="Calibri"/>
      <b val="1"/>
      <color rgb="00FFFFFF"/>
      <sz val="9"/>
    </font>
    <font>
      <name val="Calibri"/>
      <b val="1"/>
      <color rgb="000A0A0B"/>
      <sz val="9"/>
    </font>
    <font>
      <name val="Calibri"/>
      <color rgb="006B6B6E"/>
      <sz val="10"/>
    </font>
    <font>
      <name val="Calibri"/>
      <b val="1"/>
      <color rgb="000A0A0B"/>
      <sz val="20"/>
    </font>
    <font>
      <name val="Calibri"/>
      <color rgb="006B6B6E"/>
      <sz val="9"/>
    </font>
  </fonts>
  <fills count="11">
    <fill>
      <patternFill/>
    </fill>
    <fill>
      <patternFill patternType="gray125"/>
    </fill>
    <fill>
      <patternFill patternType="solid">
        <fgColor rgb="00EAF7FB"/>
      </patternFill>
    </fill>
    <fill>
      <patternFill patternType="solid">
        <fgColor rgb="00FDEAF5"/>
      </patternFill>
    </fill>
    <fill>
      <patternFill patternType="solid">
        <fgColor rgb="000A0A0B"/>
      </patternFill>
    </fill>
    <fill>
      <patternFill patternType="solid">
        <fgColor rgb="0059D7A2"/>
      </patternFill>
    </fill>
    <fill>
      <patternFill patternType="solid">
        <fgColor rgb="00F7F7F8"/>
      </patternFill>
    </fill>
    <fill>
      <patternFill patternType="solid">
        <fgColor rgb="00EAF9F3"/>
      </patternFill>
    </fill>
    <fill>
      <patternFill patternType="solid">
        <fgColor rgb="0095D6EA"/>
      </patternFill>
    </fill>
    <fill>
      <patternFill patternType="solid">
        <fgColor rgb="002FA37A"/>
      </patternFill>
    </fill>
    <fill>
      <patternFill patternType="solid">
        <fgColor rgb="00E71CA2"/>
      </patternFill>
    </fill>
  </fills>
  <borders count="7">
    <border>
      <left/>
      <right/>
      <top/>
      <bottom/>
      <diagonal/>
    </border>
    <border>
      <left style="thin">
        <color rgb="00E3E3E5"/>
      </left>
      <right style="thin">
        <color rgb="00E3E3E5"/>
      </right>
      <top style="thin">
        <color rgb="00E3E3E5"/>
      </top>
      <bottom style="thin">
        <color rgb="00E3E3E5"/>
      </bottom>
    </border>
    <border>
      <left style="thin">
        <color rgb="00E3E3E5"/>
      </left>
      <right style="thin">
        <color rgb="00E3E3E5"/>
      </right>
      <top style="medium">
        <color rgb="0059D7A2"/>
      </top>
      <bottom style="thin">
        <color rgb="00E3E3E5"/>
      </bottom>
    </border>
    <border>
      <left/>
      <right/>
      <top style="thin">
        <color rgb="00E3E3E5"/>
      </top>
      <bottom/>
      <diagonal/>
    </border>
    <border>
      <left/>
      <right style="thin">
        <color rgb="00E3E3E5"/>
      </right>
      <top style="thin">
        <color rgb="00E3E3E5"/>
      </top>
      <bottom/>
      <diagonal/>
    </border>
    <border>
      <left/>
      <right/>
      <top style="thin">
        <color rgb="00E3E3E5"/>
      </top>
      <bottom style="thin">
        <color rgb="00E3E3E5"/>
      </bottom>
      <diagonal/>
    </border>
    <border>
      <left/>
      <right style="thin">
        <color rgb="00E3E3E5"/>
      </right>
      <top style="thin">
        <color rgb="00E3E3E5"/>
      </top>
      <bottom style="thin">
        <color rgb="00E3E3E5"/>
      </bottom>
      <diagonal/>
    </border>
  </borders>
  <cellStyleXfs count="1">
    <xf numFmtId="0" fontId="0" fillId="0" borderId="0"/>
  </cellStyleXfs>
  <cellXfs count="79">
    <xf numFmtId="0" fontId="0" fillId="0" borderId="0" pivotButton="0" quotePrefix="0" xfId="0"/>
    <xf numFmtId="0" fontId="1" fillId="0" borderId="0" applyAlignment="1" pivotButton="0" quotePrefix="0" xfId="0">
      <alignment horizontal="left" vertical="center" indent="1"/>
    </xf>
    <xf numFmtId="0" fontId="2" fillId="0" borderId="0" applyAlignment="1" pivotButton="0" quotePrefix="0" xfId="0">
      <alignment horizontal="left" vertical="center" indent="1"/>
    </xf>
    <xf numFmtId="0" fontId="3" fillId="0" borderId="0" applyAlignment="1" pivotButton="0" quotePrefix="0" xfId="0">
      <alignment horizontal="left" vertical="center" indent="1"/>
    </xf>
    <xf numFmtId="0" fontId="4" fillId="7" borderId="0" applyAlignment="1" pivotButton="0" quotePrefix="0" xfId="0">
      <alignment horizontal="left" vertical="center" indent="1"/>
    </xf>
    <xf numFmtId="0" fontId="4" fillId="3" borderId="0" applyAlignment="1" pivotButton="0" quotePrefix="0" xfId="0">
      <alignment horizontal="left" vertical="center" indent="1"/>
    </xf>
    <xf numFmtId="0" fontId="4" fillId="2" borderId="0" applyAlignment="1" pivotButton="0" quotePrefix="0" xfId="0">
      <alignment horizontal="left" vertical="center" indent="1"/>
    </xf>
    <xf numFmtId="166" fontId="15" fillId="7" borderId="0" applyAlignment="1" pivotButton="0" quotePrefix="0" xfId="0">
      <alignment horizontal="left" vertical="center" indent="1"/>
    </xf>
    <xf numFmtId="3" fontId="15" fillId="7" borderId="0" applyAlignment="1" pivotButton="0" quotePrefix="0" xfId="0">
      <alignment horizontal="left" vertical="center" indent="1"/>
    </xf>
    <xf numFmtId="166" fontId="15" fillId="3" borderId="0" applyAlignment="1" pivotButton="0" quotePrefix="0" xfId="0">
      <alignment horizontal="left" vertical="center" indent="1"/>
    </xf>
    <xf numFmtId="3" fontId="15" fillId="2" borderId="0" applyAlignment="1" pivotButton="0" quotePrefix="0" xfId="0">
      <alignment horizontal="left" vertical="center" indent="1"/>
    </xf>
    <xf numFmtId="0" fontId="15" fillId="2" borderId="0" applyAlignment="1" pivotButton="0" quotePrefix="0" xfId="0">
      <alignment horizontal="left" vertical="center" indent="1"/>
    </xf>
    <xf numFmtId="0" fontId="16" fillId="7" borderId="0" applyAlignment="1" pivotButton="0" quotePrefix="0" xfId="0">
      <alignment horizontal="left" vertical="center" indent="1"/>
    </xf>
    <xf numFmtId="0" fontId="16" fillId="3" borderId="0" applyAlignment="1" pivotButton="0" quotePrefix="0" xfId="0">
      <alignment horizontal="left" vertical="center" indent="1"/>
    </xf>
    <xf numFmtId="0" fontId="16" fillId="2" borderId="0" applyAlignment="1" pivotButton="0" quotePrefix="0" xfId="0">
      <alignment horizontal="left" vertical="center" indent="1"/>
    </xf>
    <xf numFmtId="0" fontId="8" fillId="4" borderId="0" applyAlignment="1" pivotButton="0" quotePrefix="0" xfId="0">
      <alignment horizontal="left" vertical="center" indent="1"/>
    </xf>
    <xf numFmtId="0" fontId="0" fillId="4" borderId="0" pivotButton="0" quotePrefix="0" xfId="0"/>
    <xf numFmtId="0" fontId="9" fillId="5" borderId="1" applyAlignment="1" pivotButton="0" quotePrefix="0" xfId="0">
      <alignment horizontal="center" vertical="center" wrapText="1"/>
    </xf>
    <xf numFmtId="0" fontId="9" fillId="0" borderId="1" applyAlignment="1" pivotButton="0" quotePrefix="0" xfId="0">
      <alignment horizontal="left" vertical="center" indent="1"/>
    </xf>
    <xf numFmtId="0" fontId="6" fillId="0" borderId="1" applyAlignment="1" pivotButton="0" quotePrefix="0" xfId="0">
      <alignment horizontal="left" vertical="center" indent="1"/>
    </xf>
    <xf numFmtId="166" fontId="6" fillId="0" borderId="1" applyAlignment="1" pivotButton="0" quotePrefix="0" xfId="0">
      <alignment horizontal="right" vertical="center"/>
    </xf>
    <xf numFmtId="9" fontId="6" fillId="0" borderId="1" applyAlignment="1" pivotButton="0" quotePrefix="0" xfId="0">
      <alignment horizontal="right" vertical="center"/>
    </xf>
    <xf numFmtId="0" fontId="14" fillId="0" borderId="1" applyAlignment="1" pivotButton="0" quotePrefix="0" xfId="0">
      <alignment horizontal="right" vertical="center"/>
    </xf>
    <xf numFmtId="3" fontId="6" fillId="0" borderId="1" applyAlignment="1" pivotButton="0" quotePrefix="0" xfId="0">
      <alignment horizontal="right" vertical="center"/>
    </xf>
    <xf numFmtId="3" fontId="9" fillId="0" borderId="1" applyAlignment="1" pivotButton="0" quotePrefix="0" xfId="0">
      <alignment horizontal="right" vertical="center"/>
    </xf>
    <xf numFmtId="0" fontId="9" fillId="6" borderId="1" applyAlignment="1" pivotButton="0" quotePrefix="0" xfId="0">
      <alignment horizontal="left" vertical="center" indent="1"/>
    </xf>
    <xf numFmtId="0" fontId="6" fillId="6" borderId="1" applyAlignment="1" pivotButton="0" quotePrefix="0" xfId="0">
      <alignment horizontal="left" vertical="center" indent="1"/>
    </xf>
    <xf numFmtId="166" fontId="6" fillId="6" borderId="1" applyAlignment="1" pivotButton="0" quotePrefix="0" xfId="0">
      <alignment horizontal="right" vertical="center"/>
    </xf>
    <xf numFmtId="9" fontId="6" fillId="6" borderId="1" applyAlignment="1" pivotButton="0" quotePrefix="0" xfId="0">
      <alignment horizontal="right" vertical="center"/>
    </xf>
    <xf numFmtId="3" fontId="9" fillId="6" borderId="1" applyAlignment="1" pivotButton="0" quotePrefix="0" xfId="0">
      <alignment horizontal="right" vertical="center"/>
    </xf>
    <xf numFmtId="3" fontId="6" fillId="6" borderId="1" applyAlignment="1" pivotButton="0" quotePrefix="0" xfId="0">
      <alignment horizontal="right" vertical="center"/>
    </xf>
    <xf numFmtId="0" fontId="9" fillId="7" borderId="1" applyAlignment="1" pivotButton="0" quotePrefix="0" xfId="0">
      <alignment horizontal="left" vertical="center" indent="1"/>
    </xf>
    <xf numFmtId="166" fontId="10" fillId="7" borderId="1" applyAlignment="1" pivotButton="0" quotePrefix="0" xfId="0">
      <alignment horizontal="right" vertical="center"/>
    </xf>
    <xf numFmtId="9" fontId="9" fillId="7" borderId="1" applyAlignment="1" pivotButton="0" quotePrefix="0" xfId="0">
      <alignment horizontal="right" vertical="center"/>
    </xf>
    <xf numFmtId="3" fontId="9" fillId="7" borderId="1" applyAlignment="1" pivotButton="0" quotePrefix="0" xfId="0">
      <alignment horizontal="right" vertical="center"/>
    </xf>
    <xf numFmtId="0" fontId="9" fillId="2" borderId="1" applyAlignment="1" pivotButton="0" quotePrefix="0" xfId="0">
      <alignment horizontal="left" vertical="center" indent="1"/>
    </xf>
    <xf numFmtId="0" fontId="0" fillId="2" borderId="1" pivotButton="0" quotePrefix="0" xfId="0"/>
    <xf numFmtId="166" fontId="9" fillId="2" borderId="1" applyAlignment="1" pivotButton="0" quotePrefix="0" xfId="0">
      <alignment horizontal="right" vertical="center"/>
    </xf>
    <xf numFmtId="9" fontId="9" fillId="2" borderId="1" applyAlignment="1" pivotButton="0" quotePrefix="0" xfId="0">
      <alignment horizontal="right" vertical="center"/>
    </xf>
    <xf numFmtId="3" fontId="9" fillId="2" borderId="1" applyAlignment="1" pivotButton="0" quotePrefix="0" xfId="0">
      <alignment horizontal="right" vertical="center"/>
    </xf>
    <xf numFmtId="0" fontId="0" fillId="7" borderId="2" pivotButton="0" quotePrefix="0" xfId="0"/>
    <xf numFmtId="0" fontId="5" fillId="2" borderId="1" applyAlignment="1" pivotButton="0" quotePrefix="0" xfId="0">
      <alignment horizontal="left" vertical="center" indent="1"/>
    </xf>
    <xf numFmtId="0" fontId="0" fillId="0" borderId="5" pivotButton="0" quotePrefix="0" xfId="0"/>
    <xf numFmtId="0" fontId="0" fillId="0" borderId="6" pivotButton="0" quotePrefix="0" xfId="0"/>
    <xf numFmtId="0" fontId="9" fillId="0" borderId="1" applyAlignment="1" pivotButton="0" quotePrefix="0" xfId="0">
      <alignment horizontal="center" vertical="center"/>
    </xf>
    <xf numFmtId="0" fontId="9" fillId="6" borderId="1" applyAlignment="1" pivotButton="0" quotePrefix="0" xfId="0">
      <alignment horizontal="center" vertical="center"/>
    </xf>
    <xf numFmtId="0" fontId="11" fillId="8" borderId="0" applyAlignment="1" pivotButton="0" quotePrefix="0" xfId="0">
      <alignment horizontal="left" vertical="center" indent="1"/>
    </xf>
    <xf numFmtId="0" fontId="0" fillId="8" borderId="0" pivotButton="0" quotePrefix="0" xfId="0"/>
    <xf numFmtId="0" fontId="12" fillId="4" borderId="1" applyAlignment="1" pivotButton="0" quotePrefix="0" xfId="0">
      <alignment horizontal="center" vertical="center"/>
    </xf>
    <xf numFmtId="0" fontId="12" fillId="9" borderId="1" applyAlignment="1" pivotButton="0" quotePrefix="0" xfId="0">
      <alignment horizontal="center" vertical="center"/>
    </xf>
    <xf numFmtId="0" fontId="13" fillId="8" borderId="1" applyAlignment="1" pivotButton="0" quotePrefix="0" xfId="0">
      <alignment horizontal="center" vertical="center"/>
    </xf>
    <xf numFmtId="0" fontId="12" fillId="10" borderId="1" applyAlignment="1" pivotButton="0" quotePrefix="0" xfId="0">
      <alignment horizontal="center" vertical="center"/>
    </xf>
    <xf numFmtId="9" fontId="5" fillId="2" borderId="1" applyAlignment="1" pivotButton="0" quotePrefix="0" xfId="0">
      <alignment horizontal="right" vertical="center"/>
    </xf>
    <xf numFmtId="166" fontId="5" fillId="2" borderId="1" applyAlignment="1" pivotButton="0" quotePrefix="0" xfId="0">
      <alignment horizontal="right" vertical="center"/>
    </xf>
    <xf numFmtId="10" fontId="6" fillId="0" borderId="1" applyAlignment="1" pivotButton="0" quotePrefix="0" xfId="0">
      <alignment horizontal="right" vertical="center"/>
    </xf>
    <xf numFmtId="10" fontId="6" fillId="6" borderId="1" applyAlignment="1" pivotButton="0" quotePrefix="0" xfId="0">
      <alignment horizontal="right" vertical="center"/>
    </xf>
    <xf numFmtId="10" fontId="9" fillId="7" borderId="1" applyAlignment="1" pivotButton="0" quotePrefix="0" xfId="0">
      <alignment horizontal="right" vertical="center"/>
    </xf>
    <xf numFmtId="166" fontId="9" fillId="7" borderId="1" applyAlignment="1" pivotButton="0" quotePrefix="0" xfId="0">
      <alignment horizontal="right" vertical="center"/>
    </xf>
    <xf numFmtId="10" fontId="5" fillId="2" borderId="1" applyAlignment="1" pivotButton="0" quotePrefix="0" xfId="0">
      <alignment horizontal="right" vertical="center"/>
    </xf>
    <xf numFmtId="9" fontId="14" fillId="0" borderId="1" applyAlignment="1" pivotButton="0" quotePrefix="0" xfId="0">
      <alignment horizontal="right" vertical="center"/>
    </xf>
    <xf numFmtId="168" fontId="9" fillId="0" borderId="1" applyAlignment="1" pivotButton="0" quotePrefix="0" xfId="0">
      <alignment horizontal="right" vertical="center"/>
    </xf>
    <xf numFmtId="166" fontId="9" fillId="0" borderId="1" applyAlignment="1" pivotButton="0" quotePrefix="0" xfId="0">
      <alignment horizontal="right" vertical="center"/>
    </xf>
    <xf numFmtId="9" fontId="14" fillId="6" borderId="1" applyAlignment="1" pivotButton="0" quotePrefix="0" xfId="0">
      <alignment horizontal="right" vertical="center"/>
    </xf>
    <xf numFmtId="168" fontId="9" fillId="6" borderId="1" applyAlignment="1" pivotButton="0" quotePrefix="0" xfId="0">
      <alignment horizontal="right" vertical="center"/>
    </xf>
    <xf numFmtId="166" fontId="9" fillId="6" borderId="1" applyAlignment="1" pivotButton="0" quotePrefix="0" xfId="0">
      <alignment horizontal="right" vertical="center"/>
    </xf>
    <xf numFmtId="168" fontId="9" fillId="7" borderId="1" applyAlignment="1" pivotButton="0" quotePrefix="0" xfId="0">
      <alignment horizontal="right" vertical="center"/>
    </xf>
    <xf numFmtId="167" fontId="9" fillId="5" borderId="1" applyAlignment="1" pivotButton="0" quotePrefix="0" xfId="0">
      <alignment horizontal="center" vertical="center"/>
    </xf>
    <xf numFmtId="166" fontId="14" fillId="0" borderId="1" applyAlignment="1" pivotButton="0" quotePrefix="0" xfId="0">
      <alignment horizontal="right" vertical="center"/>
    </xf>
    <xf numFmtId="166" fontId="14" fillId="6" borderId="1" applyAlignment="1" pivotButton="0" quotePrefix="0" xfId="0">
      <alignment horizontal="right" vertical="center"/>
    </xf>
    <xf numFmtId="165" fontId="6" fillId="0" borderId="1" applyAlignment="1" pivotButton="0" quotePrefix="0" xfId="0">
      <alignment horizontal="right" vertical="center"/>
    </xf>
    <xf numFmtId="165" fontId="6" fillId="6" borderId="1" applyAlignment="1" pivotButton="0" quotePrefix="0" xfId="0">
      <alignment horizontal="right" vertical="center"/>
    </xf>
    <xf numFmtId="0" fontId="4" fillId="0" borderId="0" applyAlignment="1" pivotButton="0" quotePrefix="0" xfId="0">
      <alignment horizontal="left" vertical="center" indent="1"/>
    </xf>
    <xf numFmtId="0" fontId="7" fillId="3" borderId="1" applyAlignment="1" pivotButton="0" quotePrefix="0" xfId="0">
      <alignment horizontal="left" vertical="center" indent="1"/>
    </xf>
    <xf numFmtId="165" fontId="7" fillId="3" borderId="1" applyAlignment="1" pivotButton="0" quotePrefix="0" xfId="0">
      <alignment horizontal="right" vertical="center"/>
    </xf>
    <xf numFmtId="166" fontId="7" fillId="3" borderId="1" applyAlignment="1" pivotButton="0" quotePrefix="0" xfId="0">
      <alignment horizontal="right" vertical="center"/>
    </xf>
    <xf numFmtId="3" fontId="5" fillId="2" borderId="1" applyAlignment="1" pivotButton="0" quotePrefix="0" xfId="0">
      <alignment horizontal="right" vertical="center"/>
    </xf>
    <xf numFmtId="9" fontId="9" fillId="0" borderId="1" applyAlignment="1" pivotButton="0" quotePrefix="0" xfId="0">
      <alignment horizontal="right" vertical="center"/>
    </xf>
    <xf numFmtId="9" fontId="9" fillId="6" borderId="1" applyAlignment="1" pivotButton="0" quotePrefix="0" xfId="0">
      <alignment horizontal="right" vertical="center"/>
    </xf>
    <xf numFmtId="167" fontId="6" fillId="0" borderId="1" applyAlignment="1" pivotButton="0" quotePrefix="0" xfId="0">
      <alignment horizontal="right" vertical="center"/>
    </xf>
  </cellXfs>
  <cellStyles count="1">
    <cellStyle name="Normal" xfId="0" builtinId="0" hidden="0"/>
  </cellStyles>
  <dxfs count="4">
    <dxf>
      <font>
        <b val="1"/>
        <color rgb="002FA37A"/>
      </font>
      <fill>
        <patternFill patternType="solid">
          <fgColor rgb="00EAF9F3"/>
        </patternFill>
      </fill>
    </dxf>
    <dxf>
      <font>
        <b val="1"/>
        <color rgb="00FFFFFF"/>
      </font>
      <fill>
        <patternFill patternType="solid">
          <fgColor rgb="00E71CA2"/>
        </patternFill>
      </fill>
    </dxf>
    <dxf>
      <font>
        <b val="1"/>
        <color rgb="00E71CA2"/>
      </font>
    </dxf>
    <dxf>
      <font>
        <b val="1"/>
        <color rgb="002FA37A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comments/comment1.xml><?xml version="1.0" encoding="utf-8"?>
<comments xmlns="http://schemas.openxmlformats.org/spreadsheetml/2006/main">
  <authors>
    <author>Zenda</author>
  </authors>
  <commentList>
    <comment ref="G35" authorId="0" shapeId="0">
      <text>
        <t>Benchmark: Demand Gen de tráfico (PS NOA), octubre 2026.</t>
      </text>
    </comment>
    <comment ref="H35" authorId="0" shapeId="0">
      <text>
        <t>Benchmark: Demand Gen de tráfico (PS NOA), octubre 2026.</t>
      </text>
    </comment>
    <comment ref="G36" authorId="0" shapeId="0">
      <text>
        <t>Benchmark: Meta clics (PS ION), octubre 2026.</t>
      </text>
    </comment>
    <comment ref="H36" authorId="0" shapeId="0">
      <text>
        <t>Benchmark: Meta clics (PS ION), octubre 2026.</t>
      </text>
    </comment>
    <comment ref="G42" authorId="0" shapeId="0">
      <text>
        <t>Benchmark: real de la misma campaña en octubre 2026 (MP GSS octubre).</t>
      </text>
    </comment>
    <comment ref="G43" authorId="0" shapeId="0">
      <text>
        <t>Benchmark: Search Category de Auto, octubre 2026.</t>
      </text>
    </comment>
    <comment ref="G44" authorId="0" shapeId="0">
      <text>
        <t>Benchmark: real de la misma campaña en octubre 2026 (MP GSS octubre).</t>
      </text>
    </comment>
    <comment ref="G45" authorId="0" shapeId="0">
      <text>
        <t>Benchmark: real de la misma campaña en octubre 2026 (MP GSS octubre).</t>
      </text>
    </comment>
    <comment ref="G51" authorId="0" shapeId="0">
      <text>
        <t>Benchmark: real de la misma campaña en octubre 2026 (MP GSS octubre).</t>
      </text>
    </comment>
    <comment ref="G52" authorId="0" shapeId="0">
      <text>
        <t>Benchmark: Search Not Brand de Moto, octubre 2026.</t>
      </text>
    </comment>
    <comment ref="G53" authorId="0" shapeId="0">
      <text>
        <t>Benchmark: real de la misma campaña en octubre 2026 (MP GSS octubre).</t>
      </text>
    </comment>
    <comment ref="G54" authorId="0" shapeId="0">
      <text>
        <t>Benchmark: real de la misma campaña en octubre 2026 (MP GSS octubre).</t>
      </text>
    </comment>
    <comment ref="G60" authorId="0" shapeId="0">
      <text>
        <t>Benchmark: real de la misma campaña en octubre 2026 (MP GSS octubre).</t>
      </text>
    </comment>
    <comment ref="G61" authorId="0" shapeId="0">
      <text>
        <t>Benchmark: real de la misma campaña en octubre 2026 (MP GSS octubre).</t>
      </text>
    </comment>
    <comment ref="G62" authorId="0" shapeId="0">
      <text>
        <t>Campaña nueva para el Cyber de Movilidad (en 2025 no corrió). Benchmark: real de la misma campaña en octubre 2026 (MP GSS octubre).</t>
      </text>
    </comment>
    <comment ref="G63" authorId="0" shapeId="0">
      <text>
        <t>Benchmark: real de la misma campaña en octubre 2026 (MP GSS octubre).</t>
      </text>
    </comment>
    <comment ref="G69" authorId="0" shapeId="0">
      <text>
        <t>Hogar no pauta en octubre: benchmark del Cyber 2025 con CPC + 22 % de inflación anual.</t>
      </text>
    </comment>
    <comment ref="G70" authorId="0" shapeId="0">
      <text>
        <t>Hogar no pauta en octubre: benchmark del Cyber 2025 con CPC + 22 % de inflación anual.</t>
      </text>
    </comment>
    <comment ref="G71" authorId="0" shapeId="0">
      <text>
        <t>Hogar no pauta en octubre: benchmark del Cyber 2025 con CPC + 22 % de inflación anual.</t>
      </text>
    </comment>
  </commentList>
</comments>
</file>

<file path=xl/comments/comment2.xml><?xml version="1.0" encoding="utf-8"?>
<comments xmlns="http://schemas.openxmlformats.org/spreadsheetml/2006/main">
  <authors>
    <author>Zenda</author>
  </authors>
  <commentList>
    <comment ref="C13" authorId="0" shapeId="0">
      <text>
        <t>Fecha estimada: Cyber Monday 2025 fue del 3 al 5/11 con extensión a toda la semana. Confirmar fechas oficiales 2026.</t>
      </text>
    </comment>
    <comment ref="D13" authorId="0" shapeId="0">
      <text>
        <t>Fecha estimada: Cyber Monday 2025 fue del 3 al 5/11 con extensión a toda la semana. Confirmar fechas oficiales 2026.</t>
      </text>
    </comment>
    <comment ref="C14" authorId="0" shapeId="0">
      <text>
        <t>Fecha estimada: Cyber Monday 2025 fue del 3 al 5/11 con extensión a toda la semana. Confirmar fechas oficiales 2026.</t>
      </text>
    </comment>
    <comment ref="D14" authorId="0" shapeId="0">
      <text>
        <t>Fecha estimada: Cyber Monday 2025 fue del 3 al 5/11 con extensión a toda la semana. Confirmar fechas oficiales 2026.</t>
      </text>
    </comment>
    <comment ref="D19" authorId="0" shapeId="0">
      <text>
        <t>Monto de ejemplo (inversión Cyber 2025 + ~30 %). Reemplazar con el presupuesto que mande el cliente.</t>
      </text>
    </comment>
    <comment ref="D20" authorId="0" shapeId="0">
      <text>
        <t>Monto de ejemplo (inversión Cyber 2025 + ~30 %). Reemplazar con el presupuesto que mande el cliente.</t>
      </text>
    </comment>
    <comment ref="D21" authorId="0" shapeId="0">
      <text>
        <t>Monto de ejemplo (inversión Cyber 2025 + ~30 %). Reemplazar con el presupuesto que mande el cliente.</t>
      </text>
    </comment>
    <comment ref="D22" authorId="0" shapeId="0">
      <text>
        <t>Monto de ejemplo (inversión Cyber 2025 + ~30 %). Reemplazar con el presupuesto que mande el cliente.</t>
      </text>
    </comment>
    <comment ref="D23" authorId="0" shapeId="0">
      <text>
        <t>Monto de ejemplo (inversión Cyber 2025 + ~30 %). Reemplazar con el presupuesto que mande el cliente.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sheet1.xml><?xml version="1.0" encoding="utf-8"?>
<worksheet xmlns="http://schemas.openxmlformats.org/spreadsheetml/2006/main">
  <sheetPr>
    <tabColor rgb="0059D7A2"/>
    <outlinePr summaryBelow="1" summaryRight="1"/>
    <pageSetUpPr fitToPage="1"/>
  </sheetPr>
  <dimension ref="B2:Q72"/>
  <sheetViews>
    <sheetView showGridLines="0" workbookViewId="0">
      <pane xSplit="2" topLeftCell="C1" activePane="topRight" state="frozen"/>
      <selection pane="topRight" activeCell="A1" sqref="A1"/>
    </sheetView>
  </sheetViews>
  <sheetFormatPr baseColWidth="8" defaultRowHeight="15"/>
  <cols>
    <col width="2.6" customWidth="1" min="1" max="1"/>
    <col width="30" customWidth="1" min="2" max="2"/>
    <col width="12" customWidth="1" min="3" max="3"/>
    <col width="15" customWidth="1" min="4" max="4"/>
    <col width="8" customWidth="1" min="5" max="5"/>
    <col width="14" customWidth="1" min="6" max="6"/>
    <col width="11" customWidth="1" min="7" max="7"/>
    <col width="10" customWidth="1" min="8" max="8"/>
    <col width="10" customWidth="1" min="9" max="9"/>
    <col width="12" customWidth="1" min="10" max="10"/>
    <col width="10" customWidth="1" min="11" max="11"/>
    <col width="11" customWidth="1" min="12" max="12"/>
    <col width="13" customWidth="1" min="13" max="13"/>
    <col width="13" customWidth="1" min="14" max="14"/>
    <col width="13" customWidth="1" min="15" max="15"/>
    <col width="12" customWidth="1" min="16" max="16"/>
    <col width="14" customWidth="1" min="17" max="17"/>
  </cols>
  <sheetData>
    <row r="2">
      <c r="B2" s="1" t="inlineStr">
        <is>
          <t>zenda.</t>
        </is>
      </c>
    </row>
    <row r="3" ht="28" customHeight="1">
      <c r="B3" s="2" t="inlineStr">
        <is>
          <t>Sancor Seguros  |  Media Plan Cyber Monday 2026</t>
        </is>
      </c>
    </row>
    <row r="4">
      <c r="B4" s="3" t="inlineStr">
        <is>
          <t>Versión de ejemplo: presupuesto, productos y fechas pendientes de confirmar (en rosa, hoja Supuestos).</t>
        </is>
      </c>
    </row>
    <row r="6" ht="18" customHeight="1">
      <c r="B6" s="4" t="inlineStr">
        <is>
          <t>INVERSIÓN TOTAL</t>
        </is>
      </c>
      <c r="D6" s="4" t="inlineStr">
        <is>
          <t>CONVERSIONES ESTIMADAS</t>
        </is>
      </c>
      <c r="H6" s="5" t="inlineStr">
        <is>
          <t>CPA ESTIMADO</t>
        </is>
      </c>
      <c r="L6" s="6" t="inlineStr">
        <is>
          <t>CLICKS ESTIMADOS</t>
        </is>
      </c>
      <c r="P6" s="6" t="inlineStr">
        <is>
          <t>SEMANA CYBER</t>
        </is>
      </c>
    </row>
    <row r="7" ht="32" customHeight="1">
      <c r="B7" s="7">
        <f>D19</f>
        <v/>
      </c>
      <c r="D7" s="8">
        <f>F19</f>
        <v/>
      </c>
      <c r="H7" s="9">
        <f>G19</f>
        <v/>
      </c>
      <c r="L7" s="10">
        <f>H19</f>
        <v/>
      </c>
      <c r="P7" s="11">
        <f>TEXT(Supuestos!$C$14,"dd/mm")&amp;" al "&amp;TEXT(Supuestos!$D$14,"dd/mm")</f>
        <v/>
      </c>
    </row>
    <row r="8" ht="16" customHeight="1">
      <c r="B8" s="12" t="inlineStr">
        <is>
          <t>Teaser + Performance</t>
        </is>
      </c>
      <c r="D8" s="12" t="inlineStr">
        <is>
          <t>Solo Performance</t>
        </is>
      </c>
      <c r="H8" s="13" t="inlineStr">
        <is>
          <t>Solo Performance</t>
        </is>
      </c>
      <c r="L8" s="14" t="inlineStr">
        <is>
          <t>Teaser + Performance</t>
        </is>
      </c>
      <c r="P8" s="14">
        <f>"Teaser desde el "&amp;TEXT(Supuestos!$C$13,"dd/mm")</f>
        <v/>
      </c>
    </row>
    <row r="11" ht="24" customHeight="1">
      <c r="B11" s="15" t="inlineStr">
        <is>
          <t>RESUMEN POR ETAPA Y PRODUCTO</t>
        </is>
      </c>
      <c r="C11" s="16" t="n"/>
      <c r="D11" s="16" t="n"/>
      <c r="E11" s="16" t="n"/>
      <c r="F11" s="16" t="n"/>
      <c r="G11" s="16" t="n"/>
      <c r="H11" s="16" t="n"/>
      <c r="J11" s="15" t="inlineStr">
        <is>
          <t>RESUMEN POR MEDIO</t>
        </is>
      </c>
      <c r="K11" s="16" t="n"/>
      <c r="L11" s="16" t="n"/>
      <c r="M11" s="16" t="n"/>
      <c r="N11" s="16" t="n"/>
    </row>
    <row r="12" ht="30" customHeight="1">
      <c r="B12" s="17" t="inlineStr">
        <is>
          <t>Producto</t>
        </is>
      </c>
      <c r="C12" s="17" t="inlineStr">
        <is>
          <t>Etapa</t>
        </is>
      </c>
      <c r="D12" s="17" t="inlineStr">
        <is>
          <t>Inversión</t>
        </is>
      </c>
      <c r="E12" s="17" t="inlineStr">
        <is>
          <t>% del total</t>
        </is>
      </c>
      <c r="F12" s="17" t="inlineStr">
        <is>
          <t>Conversiones</t>
        </is>
      </c>
      <c r="G12" s="17" t="inlineStr">
        <is>
          <t>CPA</t>
        </is>
      </c>
      <c r="H12" s="17" t="inlineStr">
        <is>
          <t>Clicks</t>
        </is>
      </c>
      <c r="J12" s="17" t="inlineStr">
        <is>
          <t>Medio</t>
        </is>
      </c>
      <c r="K12" s="17" t="inlineStr">
        <is>
          <t>Inversión</t>
        </is>
      </c>
      <c r="L12" s="17" t="inlineStr">
        <is>
          <t>% del total</t>
        </is>
      </c>
      <c r="M12" s="17" t="inlineStr">
        <is>
          <t>Conversiones</t>
        </is>
      </c>
      <c r="N12" s="17" t="inlineStr">
        <is>
          <t>CPA</t>
        </is>
      </c>
    </row>
    <row r="13">
      <c r="B13" s="18" t="inlineStr">
        <is>
          <t>Teaser</t>
        </is>
      </c>
      <c r="C13" s="19" t="inlineStr">
        <is>
          <t>Teaser</t>
        </is>
      </c>
      <c r="D13" s="20">
        <f>F37</f>
        <v/>
      </c>
      <c r="E13" s="21">
        <f>IFERROR(D13/$D$19,"")</f>
        <v/>
      </c>
      <c r="F13" s="22" t="inlineStr">
        <is>
          <t>–</t>
        </is>
      </c>
      <c r="G13" s="22" t="inlineStr">
        <is>
          <t>–</t>
        </is>
      </c>
      <c r="H13" s="23">
        <f>L37</f>
        <v/>
      </c>
      <c r="J13" s="18" t="inlineStr">
        <is>
          <t>Google Ads</t>
        </is>
      </c>
      <c r="K13" s="20">
        <f>SUMIF($C$30:$C$74,J13,$F$30:$F$74)</f>
        <v/>
      </c>
      <c r="L13" s="21">
        <f>IFERROR(K13/$K$15,"")</f>
        <v/>
      </c>
      <c r="M13" s="24">
        <f>SUMIF($C$42:$C$74,J13,$N$42:$N$74)</f>
        <v/>
      </c>
      <c r="N13" s="20">
        <f>IFERROR(SUMIF($C$42:$C$74,J13,$F$42:$F$74)/M13,"")</f>
        <v/>
      </c>
    </row>
    <row r="14">
      <c r="B14" s="25" t="inlineStr">
        <is>
          <t>Auto</t>
        </is>
      </c>
      <c r="C14" s="26" t="inlineStr">
        <is>
          <t>Performance</t>
        </is>
      </c>
      <c r="D14" s="27">
        <f>F46</f>
        <v/>
      </c>
      <c r="E14" s="28">
        <f>IFERROR(D14/$D$19,"")</f>
        <v/>
      </c>
      <c r="F14" s="29">
        <f>N46</f>
        <v/>
      </c>
      <c r="G14" s="27">
        <f>IFERROR(D14/F14,"")</f>
        <v/>
      </c>
      <c r="H14" s="30">
        <f>L46</f>
        <v/>
      </c>
      <c r="J14" s="25" t="inlineStr">
        <is>
          <t>Meta Ads</t>
        </is>
      </c>
      <c r="K14" s="27">
        <f>SUMIF($C$30:$C$74,J14,$F$30:$F$74)</f>
        <v/>
      </c>
      <c r="L14" s="28">
        <f>IFERROR(K14/$K$15,"")</f>
        <v/>
      </c>
      <c r="M14" s="29">
        <f>SUMIF($C$42:$C$74,J14,$N$42:$N$74)</f>
        <v/>
      </c>
      <c r="N14" s="27">
        <f>IFERROR(SUMIF($C$42:$C$74,J14,$F$42:$F$74)/M14,"")</f>
        <v/>
      </c>
    </row>
    <row r="15" ht="20" customHeight="1">
      <c r="B15" s="18" t="inlineStr">
        <is>
          <t>Moto</t>
        </is>
      </c>
      <c r="C15" s="19" t="inlineStr">
        <is>
          <t>Performance</t>
        </is>
      </c>
      <c r="D15" s="20">
        <f>F55</f>
        <v/>
      </c>
      <c r="E15" s="21">
        <f>IFERROR(D15/$D$19,"")</f>
        <v/>
      </c>
      <c r="F15" s="24">
        <f>N55</f>
        <v/>
      </c>
      <c r="G15" s="20">
        <f>IFERROR(D15/F15,"")</f>
        <v/>
      </c>
      <c r="H15" s="23">
        <f>L55</f>
        <v/>
      </c>
      <c r="J15" s="31" t="inlineStr">
        <is>
          <t>TOTAL</t>
        </is>
      </c>
      <c r="K15" s="32">
        <f>SUM(K13:K14)</f>
        <v/>
      </c>
      <c r="L15" s="33">
        <f>SUM(L13:L14)</f>
        <v/>
      </c>
      <c r="M15" s="34">
        <f>SUM(M13:M14)</f>
        <v/>
      </c>
      <c r="N15" s="32">
        <f>IFERROR(SUM(D14:D17)/M15,"")</f>
        <v/>
      </c>
    </row>
    <row r="16">
      <c r="B16" s="25" t="inlineStr">
        <is>
          <t>Movilidad</t>
        </is>
      </c>
      <c r="C16" s="26" t="inlineStr">
        <is>
          <t>Performance</t>
        </is>
      </c>
      <c r="D16" s="27">
        <f>F64</f>
        <v/>
      </c>
      <c r="E16" s="28">
        <f>IFERROR(D16/$D$19,"")</f>
        <v/>
      </c>
      <c r="F16" s="29">
        <f>N64</f>
        <v/>
      </c>
      <c r="G16" s="27">
        <f>IFERROR(D16/F16,"")</f>
        <v/>
      </c>
      <c r="H16" s="30">
        <f>L64</f>
        <v/>
      </c>
    </row>
    <row r="17">
      <c r="B17" s="18" t="inlineStr">
        <is>
          <t>Hogar</t>
        </is>
      </c>
      <c r="C17" s="19" t="inlineStr">
        <is>
          <t>Performance</t>
        </is>
      </c>
      <c r="D17" s="20">
        <f>F72</f>
        <v/>
      </c>
      <c r="E17" s="21">
        <f>IFERROR(D17/$D$19,"")</f>
        <v/>
      </c>
      <c r="F17" s="24">
        <f>N72</f>
        <v/>
      </c>
      <c r="G17" s="20">
        <f>IFERROR(D17/F17,"")</f>
        <v/>
      </c>
      <c r="H17" s="23">
        <f>L72</f>
        <v/>
      </c>
    </row>
    <row r="18">
      <c r="B18" s="35" t="inlineStr">
        <is>
          <t>Subtotal Performance</t>
        </is>
      </c>
      <c r="C18" s="36" t="n"/>
      <c r="D18" s="37">
        <f>SUM(D14:D17)</f>
        <v/>
      </c>
      <c r="E18" s="38">
        <f>IFERROR(D18/$D$19,"")</f>
        <v/>
      </c>
      <c r="F18" s="39">
        <f>SUM(F14:F17)</f>
        <v/>
      </c>
      <c r="G18" s="37">
        <f>IFERROR(D18/F18,"")</f>
        <v/>
      </c>
      <c r="H18" s="39">
        <f>SUM(H14:H17)</f>
        <v/>
      </c>
    </row>
    <row r="19" ht="20" customHeight="1">
      <c r="B19" s="31" t="inlineStr">
        <is>
          <t>TOTAL</t>
        </is>
      </c>
      <c r="C19" s="40" t="n"/>
      <c r="D19" s="32">
        <f>SUM(D13:D17)</f>
        <v/>
      </c>
      <c r="E19" s="33">
        <f>SUM(E13:E17)</f>
        <v/>
      </c>
      <c r="F19" s="34">
        <f>SUM(F14:F17)</f>
        <v/>
      </c>
      <c r="G19" s="32">
        <f>IFERROR(SUM(D14:D17)/F19,"")</f>
        <v/>
      </c>
      <c r="H19" s="34">
        <f>SUM(H13:H17)</f>
        <v/>
      </c>
    </row>
    <row r="20">
      <c r="B20" s="3" t="inlineStr">
        <is>
          <t>El CPA total se calcula solo sobre Performance: el teaser no lleva conversiones.</t>
        </is>
      </c>
    </row>
    <row r="21" ht="24" customHeight="1">
      <c r="B21" s="15" t="inlineStr">
        <is>
          <t>CÓMO LEER EL DETALLE</t>
        </is>
      </c>
      <c r="C21" s="16" t="n"/>
      <c r="D21" s="16" t="n"/>
      <c r="E21" s="16" t="n"/>
      <c r="F21" s="16" t="n"/>
      <c r="G21" s="16" t="n"/>
      <c r="H21" s="16" t="n"/>
      <c r="J21" s="15" t="inlineStr">
        <is>
          <t>CONTROLES</t>
        </is>
      </c>
      <c r="K21" s="16" t="n"/>
      <c r="L21" s="16" t="n"/>
      <c r="M21" s="16" t="n"/>
      <c r="N21" s="16" t="n"/>
    </row>
    <row r="22">
      <c r="B22" s="41" t="inlineStr">
        <is>
          <t>Dato cargado a mano</t>
        </is>
      </c>
      <c r="C22" s="3" t="inlineStr">
        <is>
          <t>% de inversión y benchmarks. Cada benchmark tiene un comentario con su fuente.</t>
        </is>
      </c>
      <c r="J22" s="19" t="inlineStr">
        <is>
          <t>Detalle = presupuesto</t>
        </is>
      </c>
      <c r="K22" s="42" t="n"/>
      <c r="L22" s="43" t="n"/>
      <c r="M22" s="44">
        <f>IF(ROUND(D19-Supuestos!D24,0)=0,"OK","REVISAR")</f>
        <v/>
      </c>
      <c r="N22" s="43" t="n"/>
    </row>
    <row r="23">
      <c r="B23" s="19" t="inlineStr">
        <is>
          <t>Fórmula</t>
        </is>
      </c>
      <c r="C23" s="3" t="inlineStr">
        <is>
          <t>Todo lo demás. Conversiones y CPA en negrita.</t>
        </is>
      </c>
      <c r="J23" s="26" t="inlineStr">
        <is>
          <t>Medios = total</t>
        </is>
      </c>
      <c r="K23" s="42" t="n"/>
      <c r="L23" s="43" t="n"/>
      <c r="M23" s="45">
        <f>IF(ROUND(K15-D19,0)=0,"OK","REVISAR")</f>
        <v/>
      </c>
      <c r="N23" s="43" t="n"/>
    </row>
    <row r="24">
      <c r="B24" s="31" t="inlineStr">
        <is>
          <t>Subtotal</t>
        </is>
      </c>
      <c r="C24" s="3" t="inlineStr">
        <is>
          <t>Ratios recalculados sobre los totales, no promediados.</t>
        </is>
      </c>
      <c r="J24" s="19" t="inlineStr">
        <is>
          <t>% de cada bloque = 100 %</t>
        </is>
      </c>
      <c r="K24" s="42" t="n"/>
      <c r="L24" s="43" t="n"/>
      <c r="M24" s="44">
        <f>IF(AND(ROUND(E37,4)=1,ROUND(E46,4)=1,ROUND(E55,4)=1,ROUND(E64,4)=1,ROUND(E72,4)=1),"OK","REVISAR")</f>
        <v/>
      </c>
      <c r="N24" s="43" t="n"/>
    </row>
    <row r="25">
      <c r="J25" s="26" t="inlineStr">
        <is>
          <t>Curva diaria = 100 %</t>
        </is>
      </c>
      <c r="K25" s="42" t="n"/>
      <c r="L25" s="43" t="n"/>
      <c r="M25" s="45">
        <f>IF(ROUND(Supuestos!C38,4)=1,"OK","REVISAR")</f>
        <v/>
      </c>
      <c r="N25" s="43" t="n"/>
    </row>
    <row r="26">
      <c r="B26" s="3" t="inlineStr">
        <is>
          <t>Ajuste Cyber = cumplimiento del Cyber 2025 por producto (hoja Supuestos).</t>
        </is>
      </c>
    </row>
    <row r="30" ht="26" customHeight="1">
      <c r="B30" s="15" t="inlineStr">
        <is>
          <t>DETALLE POR CAMPAÑA</t>
        </is>
      </c>
      <c r="C30" s="16" t="n"/>
      <c r="D30" s="16" t="n"/>
      <c r="E30" s="16" t="n"/>
      <c r="F30" s="16" t="n"/>
      <c r="G30" s="16" t="n"/>
      <c r="H30" s="16" t="n"/>
      <c r="I30" s="16" t="n"/>
      <c r="J30" s="16" t="n"/>
      <c r="K30" s="16" t="n"/>
      <c r="L30" s="16" t="n"/>
      <c r="M30" s="16" t="n"/>
      <c r="N30" s="16" t="n"/>
      <c r="O30" s="16" t="n"/>
      <c r="P30" s="16" t="n"/>
      <c r="Q30" s="16" t="n"/>
    </row>
    <row r="32" ht="22" customHeight="1">
      <c r="B32" s="46" t="inlineStr">
        <is>
          <t>Teaser  ·  tráfico previo al evento</t>
        </is>
      </c>
      <c r="C32" s="47" t="n"/>
      <c r="D32" s="47" t="n"/>
      <c r="E32" s="47" t="n"/>
      <c r="F32" s="47" t="n"/>
      <c r="G32" s="47" t="n"/>
      <c r="H32" s="47" t="n"/>
      <c r="I32" s="47" t="n"/>
      <c r="J32" s="47" t="n"/>
      <c r="K32" s="47" t="n"/>
      <c r="L32" s="47" t="n"/>
      <c r="M32" s="47" t="n"/>
      <c r="N32" s="47" t="n"/>
      <c r="O32" s="47" t="n"/>
      <c r="P32" s="47" t="n"/>
      <c r="Q32" s="47" t="n"/>
    </row>
    <row r="33" ht="18" customHeight="1">
      <c r="B33" s="48" t="inlineStr">
        <is>
          <t>CAMPAÑA</t>
        </is>
      </c>
      <c r="C33" s="42" t="n"/>
      <c r="D33" s="43" t="n"/>
      <c r="E33" s="49" t="inlineStr">
        <is>
          <t>INVERSIÓN</t>
        </is>
      </c>
      <c r="F33" s="43" t="n"/>
      <c r="G33" s="50" t="inlineStr">
        <is>
          <t>BENCHMARKS</t>
        </is>
      </c>
      <c r="H33" s="42" t="n"/>
      <c r="I33" s="42" t="n"/>
      <c r="J33" s="43" t="n"/>
      <c r="K33" s="51" t="inlineStr">
        <is>
          <t>RESULTADOS ESTIMADOS</t>
        </is>
      </c>
      <c r="L33" s="42" t="n"/>
      <c r="M33" s="42" t="n"/>
      <c r="N33" s="42" t="n"/>
      <c r="O33" s="42" t="n"/>
      <c r="P33" s="42" t="n"/>
      <c r="Q33" s="43" t="n"/>
    </row>
    <row r="34" ht="30" customHeight="1">
      <c r="B34" s="17" t="inlineStr">
        <is>
          <t>Campaña</t>
        </is>
      </c>
      <c r="C34" s="17" t="inlineStr">
        <is>
          <t>Medio</t>
        </is>
      </c>
      <c r="D34" s="17" t="inlineStr">
        <is>
          <t>Estrategia</t>
        </is>
      </c>
      <c r="E34" s="17" t="inlineStr">
        <is>
          <t>%</t>
        </is>
      </c>
      <c r="F34" s="17" t="inlineStr">
        <is>
          <t>Inversión</t>
        </is>
      </c>
      <c r="G34" s="17" t="inlineStr">
        <is>
          <t>CPM</t>
        </is>
      </c>
      <c r="H34" s="17" t="inlineStr">
        <is>
          <t>CPC</t>
        </is>
      </c>
      <c r="I34" s="17" t="inlineStr"/>
      <c r="J34" s="17" t="inlineStr"/>
      <c r="K34" s="17" t="inlineStr"/>
      <c r="L34" s="17" t="inlineStr">
        <is>
          <t>Clicks</t>
        </is>
      </c>
      <c r="M34" s="17" t="inlineStr">
        <is>
          <t>Impresiones</t>
        </is>
      </c>
      <c r="N34" s="17" t="inlineStr">
        <is>
          <t>CTR</t>
        </is>
      </c>
      <c r="O34" s="17" t="inlineStr"/>
      <c r="P34" s="17" t="inlineStr"/>
      <c r="Q34" s="17" t="inlineStr">
        <is>
          <t>Inv. diaria prom.</t>
        </is>
      </c>
    </row>
    <row r="35">
      <c r="B35" s="18" t="inlineStr">
        <is>
          <t>DEMAND GEN - TRÁFICO</t>
        </is>
      </c>
      <c r="C35" s="19" t="inlineStr">
        <is>
          <t>Google Ads</t>
        </is>
      </c>
      <c r="D35" s="19" t="inlineStr">
        <is>
          <t>Tráfico</t>
        </is>
      </c>
      <c r="E35" s="52" t="n">
        <v>0.5</v>
      </c>
      <c r="F35" s="20">
        <f>E35*Supuestos!$D$19</f>
        <v/>
      </c>
      <c r="G35" s="53" t="n">
        <v>325.17</v>
      </c>
      <c r="H35" s="53" t="n">
        <v>10.62</v>
      </c>
      <c r="I35" s="19" t="n"/>
      <c r="J35" s="19" t="n"/>
      <c r="K35" s="19" t="n"/>
      <c r="L35" s="23">
        <f>IFERROR(F35/H35,"")</f>
        <v/>
      </c>
      <c r="M35" s="23">
        <f>IFERROR(F35/G35*1000,"")</f>
        <v/>
      </c>
      <c r="N35" s="54">
        <f>IFERROR(L35/M35,"")</f>
        <v/>
      </c>
      <c r="O35" s="19" t="n"/>
      <c r="P35" s="19" t="n"/>
      <c r="Q35" s="20">
        <f>IFERROR(F35/Supuestos!$E$13,"")</f>
        <v/>
      </c>
    </row>
    <row r="36">
      <c r="B36" s="25" t="inlineStr">
        <is>
          <t>META - TRÁFICO</t>
        </is>
      </c>
      <c r="C36" s="26" t="inlineStr">
        <is>
          <t>Meta Ads</t>
        </is>
      </c>
      <c r="D36" s="26" t="inlineStr">
        <is>
          <t>Tráfico</t>
        </is>
      </c>
      <c r="E36" s="52" t="n">
        <v>0.5</v>
      </c>
      <c r="F36" s="27">
        <f>E36*Supuestos!$D$19</f>
        <v/>
      </c>
      <c r="G36" s="53" t="n">
        <v>400</v>
      </c>
      <c r="H36" s="53" t="n">
        <v>37.1</v>
      </c>
      <c r="I36" s="26" t="n"/>
      <c r="J36" s="26" t="n"/>
      <c r="K36" s="26" t="n"/>
      <c r="L36" s="30">
        <f>IFERROR(F36/H36,"")</f>
        <v/>
      </c>
      <c r="M36" s="30">
        <f>IFERROR(F36/G36*1000,"")</f>
        <v/>
      </c>
      <c r="N36" s="55">
        <f>IFERROR(L36/M36,"")</f>
        <v/>
      </c>
      <c r="O36" s="26" t="n"/>
      <c r="P36" s="26" t="n"/>
      <c r="Q36" s="27">
        <f>IFERROR(F36/Supuestos!$E$13,"")</f>
        <v/>
      </c>
    </row>
    <row r="37" ht="20" customHeight="1">
      <c r="B37" s="31" t="inlineStr">
        <is>
          <t>Subtotal Teaser</t>
        </is>
      </c>
      <c r="C37" s="40" t="n"/>
      <c r="D37" s="40" t="n"/>
      <c r="E37" s="33">
        <f>SUM(E35:E36)</f>
        <v/>
      </c>
      <c r="F37" s="32">
        <f>SUM(F35:F36)</f>
        <v/>
      </c>
      <c r="G37" s="40" t="n"/>
      <c r="H37" s="40" t="n"/>
      <c r="I37" s="40" t="n"/>
      <c r="J37" s="40" t="n"/>
      <c r="K37" s="40" t="n"/>
      <c r="L37" s="34">
        <f>SUM(L35:L36)</f>
        <v/>
      </c>
      <c r="M37" s="34">
        <f>SUM(M35:M36)</f>
        <v/>
      </c>
      <c r="N37" s="56">
        <f>IFERROR(L37/M37,"")</f>
        <v/>
      </c>
      <c r="O37" s="40" t="n"/>
      <c r="P37" s="40" t="n"/>
      <c r="Q37" s="57">
        <f>SUM(Q35:Q36)</f>
        <v/>
      </c>
    </row>
    <row r="39" ht="22" customHeight="1">
      <c r="B39" s="46" t="inlineStr">
        <is>
          <t>Performance Auto</t>
        </is>
      </c>
      <c r="C39" s="47" t="n"/>
      <c r="D39" s="47" t="n"/>
      <c r="E39" s="47" t="n"/>
      <c r="F39" s="47" t="n"/>
      <c r="G39" s="47" t="n"/>
      <c r="H39" s="47" t="n"/>
      <c r="I39" s="47" t="n"/>
      <c r="J39" s="47" t="n"/>
      <c r="K39" s="47" t="n"/>
      <c r="L39" s="47" t="n"/>
      <c r="M39" s="47" t="n"/>
      <c r="N39" s="47" t="n"/>
      <c r="O39" s="47" t="n"/>
      <c r="P39" s="47" t="n"/>
      <c r="Q39" s="47" t="n"/>
    </row>
    <row r="40" ht="18" customHeight="1">
      <c r="B40" s="48" t="inlineStr">
        <is>
          <t>CAMPAÑA</t>
        </is>
      </c>
      <c r="C40" s="42" t="n"/>
      <c r="D40" s="43" t="n"/>
      <c r="E40" s="49" t="inlineStr">
        <is>
          <t>INVERSIÓN</t>
        </is>
      </c>
      <c r="F40" s="43" t="n"/>
      <c r="G40" s="50" t="inlineStr">
        <is>
          <t>BENCHMARKS</t>
        </is>
      </c>
      <c r="H40" s="42" t="n"/>
      <c r="I40" s="42" t="n"/>
      <c r="J40" s="43" t="n"/>
      <c r="K40" s="51" t="inlineStr">
        <is>
          <t>RESULTADOS ESTIMADOS</t>
        </is>
      </c>
      <c r="L40" s="42" t="n"/>
      <c r="M40" s="42" t="n"/>
      <c r="N40" s="42" t="n"/>
      <c r="O40" s="42" t="n"/>
      <c r="P40" s="42" t="n"/>
      <c r="Q40" s="43" t="n"/>
    </row>
    <row r="41" ht="30" customHeight="1">
      <c r="B41" s="17" t="inlineStr">
        <is>
          <t>Campaña</t>
        </is>
      </c>
      <c r="C41" s="17" t="inlineStr">
        <is>
          <t>Medio</t>
        </is>
      </c>
      <c r="D41" s="17" t="inlineStr">
        <is>
          <t>Estrategia</t>
        </is>
      </c>
      <c r="E41" s="17" t="inlineStr">
        <is>
          <t>%</t>
        </is>
      </c>
      <c r="F41" s="17" t="inlineStr">
        <is>
          <t>Inversión</t>
        </is>
      </c>
      <c r="G41" s="17" t="inlineStr">
        <is>
          <t>CPC</t>
        </is>
      </c>
      <c r="H41" s="17" t="inlineStr">
        <is>
          <t>CTR</t>
        </is>
      </c>
      <c r="I41" s="17" t="inlineStr">
        <is>
          <t>CR base</t>
        </is>
      </c>
      <c r="J41" s="17" t="inlineStr">
        <is>
          <t>Ajuste Cyber</t>
        </is>
      </c>
      <c r="K41" s="17" t="inlineStr">
        <is>
          <t>CR Cyber</t>
        </is>
      </c>
      <c r="L41" s="17" t="inlineStr">
        <is>
          <t>Clicks</t>
        </is>
      </c>
      <c r="M41" s="17" t="inlineStr">
        <is>
          <t>Impresiones</t>
        </is>
      </c>
      <c r="N41" s="17" t="inlineStr">
        <is>
          <t>Conversiones</t>
        </is>
      </c>
      <c r="O41" s="17" t="inlineStr">
        <is>
          <t>CPA</t>
        </is>
      </c>
      <c r="P41" s="17" t="inlineStr">
        <is>
          <t>CPM</t>
        </is>
      </c>
      <c r="Q41" s="17" t="inlineStr">
        <is>
          <t>Inv. diaria prom.</t>
        </is>
      </c>
    </row>
    <row r="42">
      <c r="B42" s="18" t="inlineStr">
        <is>
          <t>GOOGLE SEARCH - BRAND</t>
        </is>
      </c>
      <c r="C42" s="19" t="inlineStr">
        <is>
          <t>Google Ads</t>
        </is>
      </c>
      <c r="D42" s="19" t="inlineStr">
        <is>
          <t>Conversiones</t>
        </is>
      </c>
      <c r="E42" s="52" t="n">
        <v>0.32</v>
      </c>
      <c r="F42" s="20">
        <f>E42*Supuestos!$D$20</f>
        <v/>
      </c>
      <c r="G42" s="53" t="n">
        <v>542.37</v>
      </c>
      <c r="H42" s="58" t="n">
        <v>0.3084</v>
      </c>
      <c r="I42" s="58" t="n">
        <v>0.014</v>
      </c>
      <c r="J42" s="59">
        <f>Supuestos!$F$28</f>
        <v/>
      </c>
      <c r="K42" s="54">
        <f>I42*J42</f>
        <v/>
      </c>
      <c r="L42" s="23">
        <f>IFERROR(F42/G42,"")</f>
        <v/>
      </c>
      <c r="M42" s="23">
        <f>IFERROR(L42/H42,"")</f>
        <v/>
      </c>
      <c r="N42" s="60">
        <f>IFERROR(L42*K42,"")</f>
        <v/>
      </c>
      <c r="O42" s="61">
        <f>IFERROR(F42/N42,"")</f>
        <v/>
      </c>
      <c r="P42" s="20">
        <f>IFERROR(F42/M42*1000,"")</f>
        <v/>
      </c>
      <c r="Q42" s="20">
        <f>IFERROR(F42/Supuestos!$E$14,"")</f>
        <v/>
      </c>
    </row>
    <row r="43">
      <c r="B43" s="25" t="inlineStr">
        <is>
          <t>GOOGLE SEARCH - NOT BRAND</t>
        </is>
      </c>
      <c r="C43" s="26" t="inlineStr">
        <is>
          <t>Google Ads</t>
        </is>
      </c>
      <c r="D43" s="26" t="inlineStr">
        <is>
          <t>Conversiones</t>
        </is>
      </c>
      <c r="E43" s="52" t="n">
        <v>0.26</v>
      </c>
      <c r="F43" s="27">
        <f>E43*Supuestos!$D$20</f>
        <v/>
      </c>
      <c r="G43" s="53" t="n">
        <v>3108.27</v>
      </c>
      <c r="H43" s="58" t="n">
        <v>0.0572</v>
      </c>
      <c r="I43" s="58" t="n">
        <v>0.0581</v>
      </c>
      <c r="J43" s="62">
        <f>Supuestos!$F$28</f>
        <v/>
      </c>
      <c r="K43" s="55">
        <f>I43*J43</f>
        <v/>
      </c>
      <c r="L43" s="30">
        <f>IFERROR(F43/G43,"")</f>
        <v/>
      </c>
      <c r="M43" s="30">
        <f>IFERROR(L43/H43,"")</f>
        <v/>
      </c>
      <c r="N43" s="63">
        <f>IFERROR(L43*K43,"")</f>
        <v/>
      </c>
      <c r="O43" s="64">
        <f>IFERROR(F43/N43,"")</f>
        <v/>
      </c>
      <c r="P43" s="27">
        <f>IFERROR(F43/M43*1000,"")</f>
        <v/>
      </c>
      <c r="Q43" s="27">
        <f>IFERROR(F43/Supuestos!$E$14,"")</f>
        <v/>
      </c>
    </row>
    <row r="44">
      <c r="B44" s="18" t="inlineStr">
        <is>
          <t>PERFORMANCE MAX</t>
        </is>
      </c>
      <c r="C44" s="19" t="inlineStr">
        <is>
          <t>Google Ads</t>
        </is>
      </c>
      <c r="D44" s="19" t="inlineStr">
        <is>
          <t>Conversiones</t>
        </is>
      </c>
      <c r="E44" s="52" t="n">
        <v>0.37</v>
      </c>
      <c r="F44" s="20">
        <f>E44*Supuestos!$D$20</f>
        <v/>
      </c>
      <c r="G44" s="53" t="n">
        <v>547.0599999999999</v>
      </c>
      <c r="H44" s="58" t="n">
        <v>0.0143</v>
      </c>
      <c r="I44" s="58" t="n">
        <v>0.0278</v>
      </c>
      <c r="J44" s="59">
        <f>Supuestos!$F$28</f>
        <v/>
      </c>
      <c r="K44" s="54">
        <f>I44*J44</f>
        <v/>
      </c>
      <c r="L44" s="23">
        <f>IFERROR(F44/G44,"")</f>
        <v/>
      </c>
      <c r="M44" s="23">
        <f>IFERROR(L44/H44,"")</f>
        <v/>
      </c>
      <c r="N44" s="60">
        <f>IFERROR(L44*K44,"")</f>
        <v/>
      </c>
      <c r="O44" s="61">
        <f>IFERROR(F44/N44,"")</f>
        <v/>
      </c>
      <c r="P44" s="20">
        <f>IFERROR(F44/M44*1000,"")</f>
        <v/>
      </c>
      <c r="Q44" s="20">
        <f>IFERROR(F44/Supuestos!$E$14,"")</f>
        <v/>
      </c>
    </row>
    <row r="45">
      <c r="B45" s="25" t="inlineStr">
        <is>
          <t>META</t>
        </is>
      </c>
      <c r="C45" s="26" t="inlineStr">
        <is>
          <t>Meta Ads</t>
        </is>
      </c>
      <c r="D45" s="26" t="inlineStr">
        <is>
          <t>Conversiones</t>
        </is>
      </c>
      <c r="E45" s="52" t="n">
        <v>0.05</v>
      </c>
      <c r="F45" s="27">
        <f>E45*Supuestos!$D$20</f>
        <v/>
      </c>
      <c r="G45" s="53" t="n">
        <v>246.54</v>
      </c>
      <c r="H45" s="58" t="n">
        <v>0.0055</v>
      </c>
      <c r="I45" s="58" t="n">
        <v>0.0067</v>
      </c>
      <c r="J45" s="62">
        <f>Supuestos!$F$28</f>
        <v/>
      </c>
      <c r="K45" s="55">
        <f>I45*J45</f>
        <v/>
      </c>
      <c r="L45" s="30">
        <f>IFERROR(F45/G45,"")</f>
        <v/>
      </c>
      <c r="M45" s="30">
        <f>IFERROR(L45/H45,"")</f>
        <v/>
      </c>
      <c r="N45" s="63">
        <f>IFERROR(L45*K45,"")</f>
        <v/>
      </c>
      <c r="O45" s="64">
        <f>IFERROR(F45/N45,"")</f>
        <v/>
      </c>
      <c r="P45" s="27">
        <f>IFERROR(F45/M45*1000,"")</f>
        <v/>
      </c>
      <c r="Q45" s="27">
        <f>IFERROR(F45/Supuestos!$E$14,"")</f>
        <v/>
      </c>
    </row>
    <row r="46" ht="20" customHeight="1">
      <c r="B46" s="31" t="inlineStr">
        <is>
          <t>Subtotal Auto</t>
        </is>
      </c>
      <c r="C46" s="40" t="n"/>
      <c r="D46" s="40" t="n"/>
      <c r="E46" s="33">
        <f>SUM(E42:E45)</f>
        <v/>
      </c>
      <c r="F46" s="32">
        <f>SUM(F42:F45)</f>
        <v/>
      </c>
      <c r="G46" s="57">
        <f>IFERROR(F46/L46,"")</f>
        <v/>
      </c>
      <c r="H46" s="56">
        <f>IFERROR(L46/M46,"")</f>
        <v/>
      </c>
      <c r="I46" s="40" t="n"/>
      <c r="J46" s="40" t="n"/>
      <c r="K46" s="56">
        <f>IFERROR(N46/L46,"")</f>
        <v/>
      </c>
      <c r="L46" s="34">
        <f>SUM(L42:L45)</f>
        <v/>
      </c>
      <c r="M46" s="34">
        <f>SUM(M42:M45)</f>
        <v/>
      </c>
      <c r="N46" s="65">
        <f>SUM(N42:N45)</f>
        <v/>
      </c>
      <c r="O46" s="32">
        <f>IFERROR(F46/N46,"")</f>
        <v/>
      </c>
      <c r="P46" s="57">
        <f>IFERROR(F46/M46*1000,"")</f>
        <v/>
      </c>
      <c r="Q46" s="57">
        <f>SUM(Q42:Q45)</f>
        <v/>
      </c>
    </row>
    <row r="48" ht="22" customHeight="1">
      <c r="B48" s="46" t="inlineStr">
        <is>
          <t>Performance Moto</t>
        </is>
      </c>
      <c r="C48" s="47" t="n"/>
      <c r="D48" s="47" t="n"/>
      <c r="E48" s="47" t="n"/>
      <c r="F48" s="47" t="n"/>
      <c r="G48" s="47" t="n"/>
      <c r="H48" s="47" t="n"/>
      <c r="I48" s="47" t="n"/>
      <c r="J48" s="47" t="n"/>
      <c r="K48" s="47" t="n"/>
      <c r="L48" s="47" t="n"/>
      <c r="M48" s="47" t="n"/>
      <c r="N48" s="47" t="n"/>
      <c r="O48" s="47" t="n"/>
      <c r="P48" s="47" t="n"/>
      <c r="Q48" s="47" t="n"/>
    </row>
    <row r="49" ht="18" customHeight="1">
      <c r="B49" s="48" t="inlineStr">
        <is>
          <t>CAMPAÑA</t>
        </is>
      </c>
      <c r="C49" s="42" t="n"/>
      <c r="D49" s="43" t="n"/>
      <c r="E49" s="49" t="inlineStr">
        <is>
          <t>INVERSIÓN</t>
        </is>
      </c>
      <c r="F49" s="43" t="n"/>
      <c r="G49" s="50" t="inlineStr">
        <is>
          <t>BENCHMARKS</t>
        </is>
      </c>
      <c r="H49" s="42" t="n"/>
      <c r="I49" s="42" t="n"/>
      <c r="J49" s="43" t="n"/>
      <c r="K49" s="51" t="inlineStr">
        <is>
          <t>RESULTADOS ESTIMADOS</t>
        </is>
      </c>
      <c r="L49" s="42" t="n"/>
      <c r="M49" s="42" t="n"/>
      <c r="N49" s="42" t="n"/>
      <c r="O49" s="42" t="n"/>
      <c r="P49" s="42" t="n"/>
      <c r="Q49" s="43" t="n"/>
    </row>
    <row r="50" ht="30" customHeight="1">
      <c r="B50" s="17" t="inlineStr">
        <is>
          <t>Campaña</t>
        </is>
      </c>
      <c r="C50" s="17" t="inlineStr">
        <is>
          <t>Medio</t>
        </is>
      </c>
      <c r="D50" s="17" t="inlineStr">
        <is>
          <t>Estrategia</t>
        </is>
      </c>
      <c r="E50" s="17" t="inlineStr">
        <is>
          <t>%</t>
        </is>
      </c>
      <c r="F50" s="17" t="inlineStr">
        <is>
          <t>Inversión</t>
        </is>
      </c>
      <c r="G50" s="17" t="inlineStr">
        <is>
          <t>CPC</t>
        </is>
      </c>
      <c r="H50" s="17" t="inlineStr">
        <is>
          <t>CTR</t>
        </is>
      </c>
      <c r="I50" s="17" t="inlineStr">
        <is>
          <t>CR base</t>
        </is>
      </c>
      <c r="J50" s="17" t="inlineStr">
        <is>
          <t>Ajuste Cyber</t>
        </is>
      </c>
      <c r="K50" s="17" t="inlineStr">
        <is>
          <t>CR Cyber</t>
        </is>
      </c>
      <c r="L50" s="17" t="inlineStr">
        <is>
          <t>Clicks</t>
        </is>
      </c>
      <c r="M50" s="17" t="inlineStr">
        <is>
          <t>Impresiones</t>
        </is>
      </c>
      <c r="N50" s="17" t="inlineStr">
        <is>
          <t>Conversiones</t>
        </is>
      </c>
      <c r="O50" s="17" t="inlineStr">
        <is>
          <t>CPA</t>
        </is>
      </c>
      <c r="P50" s="17" t="inlineStr">
        <is>
          <t>CPM</t>
        </is>
      </c>
      <c r="Q50" s="17" t="inlineStr">
        <is>
          <t>Inv. diaria prom.</t>
        </is>
      </c>
    </row>
    <row r="51">
      <c r="B51" s="18" t="inlineStr">
        <is>
          <t>SEM - BRAND</t>
        </is>
      </c>
      <c r="C51" s="19" t="inlineStr">
        <is>
          <t>Google Ads</t>
        </is>
      </c>
      <c r="D51" s="19" t="inlineStr">
        <is>
          <t>Conversiones</t>
        </is>
      </c>
      <c r="E51" s="52" t="n">
        <v>0.16</v>
      </c>
      <c r="F51" s="20">
        <f>E51*Supuestos!$D$21</f>
        <v/>
      </c>
      <c r="G51" s="53" t="n">
        <v>270.3</v>
      </c>
      <c r="H51" s="58" t="n">
        <v>0.6377</v>
      </c>
      <c r="I51" s="58" t="n">
        <v>0.1538</v>
      </c>
      <c r="J51" s="59">
        <f>Supuestos!$F$29</f>
        <v/>
      </c>
      <c r="K51" s="54">
        <f>I51*J51</f>
        <v/>
      </c>
      <c r="L51" s="23">
        <f>IFERROR(F51/G51,"")</f>
        <v/>
      </c>
      <c r="M51" s="23">
        <f>IFERROR(L51/H51,"")</f>
        <v/>
      </c>
      <c r="N51" s="60">
        <f>IFERROR(L51*K51,"")</f>
        <v/>
      </c>
      <c r="O51" s="61">
        <f>IFERROR(F51/N51,"")</f>
        <v/>
      </c>
      <c r="P51" s="20">
        <f>IFERROR(F51/M51*1000,"")</f>
        <v/>
      </c>
      <c r="Q51" s="20">
        <f>IFERROR(F51/Supuestos!$E$14,"")</f>
        <v/>
      </c>
    </row>
    <row r="52">
      <c r="B52" s="25" t="inlineStr">
        <is>
          <t>SEM - CATEGORÍA</t>
        </is>
      </c>
      <c r="C52" s="26" t="inlineStr">
        <is>
          <t>Google Ads</t>
        </is>
      </c>
      <c r="D52" s="26" t="inlineStr">
        <is>
          <t>Conversiones</t>
        </is>
      </c>
      <c r="E52" s="52" t="n">
        <v>0.26</v>
      </c>
      <c r="F52" s="27">
        <f>E52*Supuestos!$D$21</f>
        <v/>
      </c>
      <c r="G52" s="53" t="n">
        <v>187.97</v>
      </c>
      <c r="H52" s="58" t="n">
        <v>0.1514</v>
      </c>
      <c r="I52" s="58" t="n">
        <v>0.1568</v>
      </c>
      <c r="J52" s="62">
        <f>Supuestos!$F$29</f>
        <v/>
      </c>
      <c r="K52" s="55">
        <f>I52*J52</f>
        <v/>
      </c>
      <c r="L52" s="30">
        <f>IFERROR(F52/G52,"")</f>
        <v/>
      </c>
      <c r="M52" s="30">
        <f>IFERROR(L52/H52,"")</f>
        <v/>
      </c>
      <c r="N52" s="63">
        <f>IFERROR(L52*K52,"")</f>
        <v/>
      </c>
      <c r="O52" s="64">
        <f>IFERROR(F52/N52,"")</f>
        <v/>
      </c>
      <c r="P52" s="27">
        <f>IFERROR(F52/M52*1000,"")</f>
        <v/>
      </c>
      <c r="Q52" s="27">
        <f>IFERROR(F52/Supuestos!$E$14,"")</f>
        <v/>
      </c>
    </row>
    <row r="53">
      <c r="B53" s="18" t="inlineStr">
        <is>
          <t>PERFORMANCE MAX</t>
        </is>
      </c>
      <c r="C53" s="19" t="inlineStr">
        <is>
          <t>Google Ads</t>
        </is>
      </c>
      <c r="D53" s="19" t="inlineStr">
        <is>
          <t>Conversiones</t>
        </is>
      </c>
      <c r="E53" s="52" t="n">
        <v>0.53</v>
      </c>
      <c r="F53" s="20">
        <f>E53*Supuestos!$D$21</f>
        <v/>
      </c>
      <c r="G53" s="53" t="n">
        <v>244.1</v>
      </c>
      <c r="H53" s="58" t="n">
        <v>0.0419</v>
      </c>
      <c r="I53" s="58" t="n">
        <v>0.204</v>
      </c>
      <c r="J53" s="59">
        <f>Supuestos!$F$29</f>
        <v/>
      </c>
      <c r="K53" s="54">
        <f>I53*J53</f>
        <v/>
      </c>
      <c r="L53" s="23">
        <f>IFERROR(F53/G53,"")</f>
        <v/>
      </c>
      <c r="M53" s="23">
        <f>IFERROR(L53/H53,"")</f>
        <v/>
      </c>
      <c r="N53" s="60">
        <f>IFERROR(L53*K53,"")</f>
        <v/>
      </c>
      <c r="O53" s="61">
        <f>IFERROR(F53/N53,"")</f>
        <v/>
      </c>
      <c r="P53" s="20">
        <f>IFERROR(F53/M53*1000,"")</f>
        <v/>
      </c>
      <c r="Q53" s="20">
        <f>IFERROR(F53/Supuestos!$E$14,"")</f>
        <v/>
      </c>
    </row>
    <row r="54">
      <c r="B54" s="25" t="inlineStr">
        <is>
          <t>META</t>
        </is>
      </c>
      <c r="C54" s="26" t="inlineStr">
        <is>
          <t>Meta Ads</t>
        </is>
      </c>
      <c r="D54" s="26" t="inlineStr">
        <is>
          <t>Conversiones</t>
        </is>
      </c>
      <c r="E54" s="52" t="n">
        <v>0.05</v>
      </c>
      <c r="F54" s="27">
        <f>E54*Supuestos!$D$21</f>
        <v/>
      </c>
      <c r="G54" s="53" t="n">
        <v>292.91</v>
      </c>
      <c r="H54" s="58" t="n">
        <v>0.0136</v>
      </c>
      <c r="I54" s="58" t="n">
        <v>0.1086</v>
      </c>
      <c r="J54" s="62">
        <f>Supuestos!$F$29</f>
        <v/>
      </c>
      <c r="K54" s="55">
        <f>I54*J54</f>
        <v/>
      </c>
      <c r="L54" s="30">
        <f>IFERROR(F54/G54,"")</f>
        <v/>
      </c>
      <c r="M54" s="30">
        <f>IFERROR(L54/H54,"")</f>
        <v/>
      </c>
      <c r="N54" s="63">
        <f>IFERROR(L54*K54,"")</f>
        <v/>
      </c>
      <c r="O54" s="64">
        <f>IFERROR(F54/N54,"")</f>
        <v/>
      </c>
      <c r="P54" s="27">
        <f>IFERROR(F54/M54*1000,"")</f>
        <v/>
      </c>
      <c r="Q54" s="27">
        <f>IFERROR(F54/Supuestos!$E$14,"")</f>
        <v/>
      </c>
    </row>
    <row r="55" ht="20" customHeight="1">
      <c r="B55" s="31" t="inlineStr">
        <is>
          <t>Subtotal Moto</t>
        </is>
      </c>
      <c r="C55" s="40" t="n"/>
      <c r="D55" s="40" t="n"/>
      <c r="E55" s="33">
        <f>SUM(E51:E54)</f>
        <v/>
      </c>
      <c r="F55" s="32">
        <f>SUM(F51:F54)</f>
        <v/>
      </c>
      <c r="G55" s="57">
        <f>IFERROR(F55/L55,"")</f>
        <v/>
      </c>
      <c r="H55" s="56">
        <f>IFERROR(L55/M55,"")</f>
        <v/>
      </c>
      <c r="I55" s="40" t="n"/>
      <c r="J55" s="40" t="n"/>
      <c r="K55" s="56">
        <f>IFERROR(N55/L55,"")</f>
        <v/>
      </c>
      <c r="L55" s="34">
        <f>SUM(L51:L54)</f>
        <v/>
      </c>
      <c r="M55" s="34">
        <f>SUM(M51:M54)</f>
        <v/>
      </c>
      <c r="N55" s="65">
        <f>SUM(N51:N54)</f>
        <v/>
      </c>
      <c r="O55" s="32">
        <f>IFERROR(F55/N55,"")</f>
        <v/>
      </c>
      <c r="P55" s="57">
        <f>IFERROR(F55/M55*1000,"")</f>
        <v/>
      </c>
      <c r="Q55" s="57">
        <f>SUM(Q51:Q54)</f>
        <v/>
      </c>
    </row>
    <row r="57" ht="22" customHeight="1">
      <c r="B57" s="46" t="inlineStr">
        <is>
          <t>Performance Movilidad</t>
        </is>
      </c>
      <c r="C57" s="47" t="n"/>
      <c r="D57" s="47" t="n"/>
      <c r="E57" s="47" t="n"/>
      <c r="F57" s="47" t="n"/>
      <c r="G57" s="47" t="n"/>
      <c r="H57" s="47" t="n"/>
      <c r="I57" s="47" t="n"/>
      <c r="J57" s="47" t="n"/>
      <c r="K57" s="47" t="n"/>
      <c r="L57" s="47" t="n"/>
      <c r="M57" s="47" t="n"/>
      <c r="N57" s="47" t="n"/>
      <c r="O57" s="47" t="n"/>
      <c r="P57" s="47" t="n"/>
      <c r="Q57" s="47" t="n"/>
    </row>
    <row r="58" ht="18" customHeight="1">
      <c r="B58" s="48" t="inlineStr">
        <is>
          <t>CAMPAÑA</t>
        </is>
      </c>
      <c r="C58" s="42" t="n"/>
      <c r="D58" s="43" t="n"/>
      <c r="E58" s="49" t="inlineStr">
        <is>
          <t>INVERSIÓN</t>
        </is>
      </c>
      <c r="F58" s="43" t="n"/>
      <c r="G58" s="50" t="inlineStr">
        <is>
          <t>BENCHMARKS</t>
        </is>
      </c>
      <c r="H58" s="42" t="n"/>
      <c r="I58" s="42" t="n"/>
      <c r="J58" s="43" t="n"/>
      <c r="K58" s="51" t="inlineStr">
        <is>
          <t>RESULTADOS ESTIMADOS</t>
        </is>
      </c>
      <c r="L58" s="42" t="n"/>
      <c r="M58" s="42" t="n"/>
      <c r="N58" s="42" t="n"/>
      <c r="O58" s="42" t="n"/>
      <c r="P58" s="42" t="n"/>
      <c r="Q58" s="43" t="n"/>
    </row>
    <row r="59" ht="30" customHeight="1">
      <c r="B59" s="17" t="inlineStr">
        <is>
          <t>Campaña</t>
        </is>
      </c>
      <c r="C59" s="17" t="inlineStr">
        <is>
          <t>Medio</t>
        </is>
      </c>
      <c r="D59" s="17" t="inlineStr">
        <is>
          <t>Estrategia</t>
        </is>
      </c>
      <c r="E59" s="17" t="inlineStr">
        <is>
          <t>%</t>
        </is>
      </c>
      <c r="F59" s="17" t="inlineStr">
        <is>
          <t>Inversión</t>
        </is>
      </c>
      <c r="G59" s="17" t="inlineStr">
        <is>
          <t>CPC</t>
        </is>
      </c>
      <c r="H59" s="17" t="inlineStr">
        <is>
          <t>CTR</t>
        </is>
      </c>
      <c r="I59" s="17" t="inlineStr">
        <is>
          <t>CR base</t>
        </is>
      </c>
      <c r="J59" s="17" t="inlineStr">
        <is>
          <t>Ajuste Cyber</t>
        </is>
      </c>
      <c r="K59" s="17" t="inlineStr">
        <is>
          <t>CR Cyber</t>
        </is>
      </c>
      <c r="L59" s="17" t="inlineStr">
        <is>
          <t>Clicks</t>
        </is>
      </c>
      <c r="M59" s="17" t="inlineStr">
        <is>
          <t>Impresiones</t>
        </is>
      </c>
      <c r="N59" s="17" t="inlineStr">
        <is>
          <t>Conversiones</t>
        </is>
      </c>
      <c r="O59" s="17" t="inlineStr">
        <is>
          <t>CPA</t>
        </is>
      </c>
      <c r="P59" s="17" t="inlineStr">
        <is>
          <t>CPM</t>
        </is>
      </c>
      <c r="Q59" s="17" t="inlineStr">
        <is>
          <t>Inv. diaria prom.</t>
        </is>
      </c>
    </row>
    <row r="60">
      <c r="B60" s="18" t="inlineStr">
        <is>
          <t>SEM - BRAND</t>
        </is>
      </c>
      <c r="C60" s="19" t="inlineStr">
        <is>
          <t>Google Ads</t>
        </is>
      </c>
      <c r="D60" s="19" t="inlineStr">
        <is>
          <t>Conversiones</t>
        </is>
      </c>
      <c r="E60" s="52" t="n">
        <v>0.07000000000000001</v>
      </c>
      <c r="F60" s="20">
        <f>E60*Supuestos!$D$22</f>
        <v/>
      </c>
      <c r="G60" s="53" t="n">
        <v>1742.57</v>
      </c>
      <c r="H60" s="58" t="n">
        <v>0.3835</v>
      </c>
      <c r="I60" s="58" t="n">
        <v>0.1191</v>
      </c>
      <c r="J60" s="59">
        <f>Supuestos!$F$30</f>
        <v/>
      </c>
      <c r="K60" s="54">
        <f>I60*J60</f>
        <v/>
      </c>
      <c r="L60" s="23">
        <f>IFERROR(F60/G60,"")</f>
        <v/>
      </c>
      <c r="M60" s="23">
        <f>IFERROR(L60/H60,"")</f>
        <v/>
      </c>
      <c r="N60" s="60">
        <f>IFERROR(L60*K60,"")</f>
        <v/>
      </c>
      <c r="O60" s="61">
        <f>IFERROR(F60/N60,"")</f>
        <v/>
      </c>
      <c r="P60" s="20">
        <f>IFERROR(F60/M60*1000,"")</f>
        <v/>
      </c>
      <c r="Q60" s="20">
        <f>IFERROR(F60/Supuestos!$E$14,"")</f>
        <v/>
      </c>
    </row>
    <row r="61">
      <c r="B61" s="25" t="inlineStr">
        <is>
          <t>SEM - CATEGORÍA</t>
        </is>
      </c>
      <c r="C61" s="26" t="inlineStr">
        <is>
          <t>Google Ads</t>
        </is>
      </c>
      <c r="D61" s="26" t="inlineStr">
        <is>
          <t>Conversiones</t>
        </is>
      </c>
      <c r="E61" s="52" t="n">
        <v>0.63</v>
      </c>
      <c r="F61" s="27">
        <f>E61*Supuestos!$D$22</f>
        <v/>
      </c>
      <c r="G61" s="53" t="n">
        <v>1261.64</v>
      </c>
      <c r="H61" s="58" t="n">
        <v>0.145</v>
      </c>
      <c r="I61" s="58" t="n">
        <v>0.0762</v>
      </c>
      <c r="J61" s="62">
        <f>Supuestos!$F$30</f>
        <v/>
      </c>
      <c r="K61" s="55">
        <f>I61*J61</f>
        <v/>
      </c>
      <c r="L61" s="30">
        <f>IFERROR(F61/G61,"")</f>
        <v/>
      </c>
      <c r="M61" s="30">
        <f>IFERROR(L61/H61,"")</f>
        <v/>
      </c>
      <c r="N61" s="63">
        <f>IFERROR(L61*K61,"")</f>
        <v/>
      </c>
      <c r="O61" s="64">
        <f>IFERROR(F61/N61,"")</f>
        <v/>
      </c>
      <c r="P61" s="27">
        <f>IFERROR(F61/M61*1000,"")</f>
        <v/>
      </c>
      <c r="Q61" s="27">
        <f>IFERROR(F61/Supuestos!$E$14,"")</f>
        <v/>
      </c>
    </row>
    <row r="62">
      <c r="B62" s="18" t="inlineStr">
        <is>
          <t>PERFORMANCE MAX</t>
        </is>
      </c>
      <c r="C62" s="19" t="inlineStr">
        <is>
          <t>Google Ads</t>
        </is>
      </c>
      <c r="D62" s="19" t="inlineStr">
        <is>
          <t>Conversiones</t>
        </is>
      </c>
      <c r="E62" s="52" t="n">
        <v>0.15</v>
      </c>
      <c r="F62" s="20">
        <f>E62*Supuestos!$D$22</f>
        <v/>
      </c>
      <c r="G62" s="53" t="n">
        <v>214.53</v>
      </c>
      <c r="H62" s="58" t="n">
        <v>0.0429</v>
      </c>
      <c r="I62" s="58" t="n">
        <v>0.0358</v>
      </c>
      <c r="J62" s="59">
        <f>Supuestos!$F$30</f>
        <v/>
      </c>
      <c r="K62" s="54">
        <f>I62*J62</f>
        <v/>
      </c>
      <c r="L62" s="23">
        <f>IFERROR(F62/G62,"")</f>
        <v/>
      </c>
      <c r="M62" s="23">
        <f>IFERROR(L62/H62,"")</f>
        <v/>
      </c>
      <c r="N62" s="60">
        <f>IFERROR(L62*K62,"")</f>
        <v/>
      </c>
      <c r="O62" s="61">
        <f>IFERROR(F62/N62,"")</f>
        <v/>
      </c>
      <c r="P62" s="20">
        <f>IFERROR(F62/M62*1000,"")</f>
        <v/>
      </c>
      <c r="Q62" s="20">
        <f>IFERROR(F62/Supuestos!$E$14,"")</f>
        <v/>
      </c>
    </row>
    <row r="63">
      <c r="B63" s="25" t="inlineStr">
        <is>
          <t>META</t>
        </is>
      </c>
      <c r="C63" s="26" t="inlineStr">
        <is>
          <t>Meta Ads</t>
        </is>
      </c>
      <c r="D63" s="26" t="inlineStr">
        <is>
          <t>Conversiones</t>
        </is>
      </c>
      <c r="E63" s="52" t="n">
        <v>0.15</v>
      </c>
      <c r="F63" s="27">
        <f>E63*Supuestos!$D$22</f>
        <v/>
      </c>
      <c r="G63" s="53" t="n">
        <v>461.64</v>
      </c>
      <c r="H63" s="58" t="n">
        <v>0.0064</v>
      </c>
      <c r="I63" s="58" t="n">
        <v>0.0388</v>
      </c>
      <c r="J63" s="62">
        <f>Supuestos!$F$30</f>
        <v/>
      </c>
      <c r="K63" s="55">
        <f>I63*J63</f>
        <v/>
      </c>
      <c r="L63" s="30">
        <f>IFERROR(F63/G63,"")</f>
        <v/>
      </c>
      <c r="M63" s="30">
        <f>IFERROR(L63/H63,"")</f>
        <v/>
      </c>
      <c r="N63" s="63">
        <f>IFERROR(L63*K63,"")</f>
        <v/>
      </c>
      <c r="O63" s="64">
        <f>IFERROR(F63/N63,"")</f>
        <v/>
      </c>
      <c r="P63" s="27">
        <f>IFERROR(F63/M63*1000,"")</f>
        <v/>
      </c>
      <c r="Q63" s="27">
        <f>IFERROR(F63/Supuestos!$E$14,"")</f>
        <v/>
      </c>
    </row>
    <row r="64" ht="20" customHeight="1">
      <c r="B64" s="31" t="inlineStr">
        <is>
          <t>Subtotal Movilidad</t>
        </is>
      </c>
      <c r="C64" s="40" t="n"/>
      <c r="D64" s="40" t="n"/>
      <c r="E64" s="33">
        <f>SUM(E60:E63)</f>
        <v/>
      </c>
      <c r="F64" s="32">
        <f>SUM(F60:F63)</f>
        <v/>
      </c>
      <c r="G64" s="57">
        <f>IFERROR(F64/L64,"")</f>
        <v/>
      </c>
      <c r="H64" s="56">
        <f>IFERROR(L64/M64,"")</f>
        <v/>
      </c>
      <c r="I64" s="40" t="n"/>
      <c r="J64" s="40" t="n"/>
      <c r="K64" s="56">
        <f>IFERROR(N64/L64,"")</f>
        <v/>
      </c>
      <c r="L64" s="34">
        <f>SUM(L60:L63)</f>
        <v/>
      </c>
      <c r="M64" s="34">
        <f>SUM(M60:M63)</f>
        <v/>
      </c>
      <c r="N64" s="65">
        <f>SUM(N60:N63)</f>
        <v/>
      </c>
      <c r="O64" s="32">
        <f>IFERROR(F64/N64,"")</f>
        <v/>
      </c>
      <c r="P64" s="57">
        <f>IFERROR(F64/M64*1000,"")</f>
        <v/>
      </c>
      <c r="Q64" s="57">
        <f>SUM(Q60:Q63)</f>
        <v/>
      </c>
    </row>
    <row r="66" ht="22" customHeight="1">
      <c r="B66" s="46" t="inlineStr">
        <is>
          <t>Performance Hogar</t>
        </is>
      </c>
      <c r="C66" s="47" t="n"/>
      <c r="D66" s="47" t="n"/>
      <c r="E66" s="47" t="n"/>
      <c r="F66" s="47" t="n"/>
      <c r="G66" s="47" t="n"/>
      <c r="H66" s="47" t="n"/>
      <c r="I66" s="47" t="n"/>
      <c r="J66" s="47" t="n"/>
      <c r="K66" s="47" t="n"/>
      <c r="L66" s="47" t="n"/>
      <c r="M66" s="47" t="n"/>
      <c r="N66" s="47" t="n"/>
      <c r="O66" s="47" t="n"/>
      <c r="P66" s="47" t="n"/>
      <c r="Q66" s="47" t="n"/>
    </row>
    <row r="67" ht="18" customHeight="1">
      <c r="B67" s="48" t="inlineStr">
        <is>
          <t>CAMPAÑA</t>
        </is>
      </c>
      <c r="C67" s="42" t="n"/>
      <c r="D67" s="43" t="n"/>
      <c r="E67" s="49" t="inlineStr">
        <is>
          <t>INVERSIÓN</t>
        </is>
      </c>
      <c r="F67" s="43" t="n"/>
      <c r="G67" s="50" t="inlineStr">
        <is>
          <t>BENCHMARKS</t>
        </is>
      </c>
      <c r="H67" s="42" t="n"/>
      <c r="I67" s="42" t="n"/>
      <c r="J67" s="43" t="n"/>
      <c r="K67" s="51" t="inlineStr">
        <is>
          <t>RESULTADOS ESTIMADOS</t>
        </is>
      </c>
      <c r="L67" s="42" t="n"/>
      <c r="M67" s="42" t="n"/>
      <c r="N67" s="42" t="n"/>
      <c r="O67" s="42" t="n"/>
      <c r="P67" s="42" t="n"/>
      <c r="Q67" s="43" t="n"/>
    </row>
    <row r="68" ht="30" customHeight="1">
      <c r="B68" s="17" t="inlineStr">
        <is>
          <t>Campaña</t>
        </is>
      </c>
      <c r="C68" s="17" t="inlineStr">
        <is>
          <t>Medio</t>
        </is>
      </c>
      <c r="D68" s="17" t="inlineStr">
        <is>
          <t>Estrategia</t>
        </is>
      </c>
      <c r="E68" s="17" t="inlineStr">
        <is>
          <t>%</t>
        </is>
      </c>
      <c r="F68" s="17" t="inlineStr">
        <is>
          <t>Inversión</t>
        </is>
      </c>
      <c r="G68" s="17" t="inlineStr">
        <is>
          <t>CPC</t>
        </is>
      </c>
      <c r="H68" s="17" t="inlineStr">
        <is>
          <t>CTR</t>
        </is>
      </c>
      <c r="I68" s="17" t="inlineStr">
        <is>
          <t>CR base</t>
        </is>
      </c>
      <c r="J68" s="17" t="inlineStr">
        <is>
          <t>Ajuste Cyber</t>
        </is>
      </c>
      <c r="K68" s="17" t="inlineStr">
        <is>
          <t>CR Cyber</t>
        </is>
      </c>
      <c r="L68" s="17" t="inlineStr">
        <is>
          <t>Clicks</t>
        </is>
      </c>
      <c r="M68" s="17" t="inlineStr">
        <is>
          <t>Impresiones</t>
        </is>
      </c>
      <c r="N68" s="17" t="inlineStr">
        <is>
          <t>Conversiones</t>
        </is>
      </c>
      <c r="O68" s="17" t="inlineStr">
        <is>
          <t>CPA</t>
        </is>
      </c>
      <c r="P68" s="17" t="inlineStr">
        <is>
          <t>CPM</t>
        </is>
      </c>
      <c r="Q68" s="17" t="inlineStr">
        <is>
          <t>Inv. diaria prom.</t>
        </is>
      </c>
    </row>
    <row r="69">
      <c r="B69" s="18" t="inlineStr">
        <is>
          <t>GOOGLE SEARCH - BRAND</t>
        </is>
      </c>
      <c r="C69" s="19" t="inlineStr">
        <is>
          <t>Google Ads</t>
        </is>
      </c>
      <c r="D69" s="19" t="inlineStr">
        <is>
          <t>Conversiones</t>
        </is>
      </c>
      <c r="E69" s="52" t="n">
        <v>0.1</v>
      </c>
      <c r="F69" s="20">
        <f>E69*Supuestos!$D$23</f>
        <v/>
      </c>
      <c r="G69" s="53" t="n">
        <v>872.46</v>
      </c>
      <c r="H69" s="58" t="n">
        <v>0.3918</v>
      </c>
      <c r="I69" s="58" t="n">
        <v>0.0526</v>
      </c>
      <c r="J69" s="59">
        <f>Supuestos!$F$31</f>
        <v/>
      </c>
      <c r="K69" s="54">
        <f>I69*J69</f>
        <v/>
      </c>
      <c r="L69" s="23">
        <f>IFERROR(F69/G69,"")</f>
        <v/>
      </c>
      <c r="M69" s="23">
        <f>IFERROR(L69/H69,"")</f>
        <v/>
      </c>
      <c r="N69" s="60">
        <f>IFERROR(L69*K69,"")</f>
        <v/>
      </c>
      <c r="O69" s="61">
        <f>IFERROR(F69/N69,"")</f>
        <v/>
      </c>
      <c r="P69" s="20">
        <f>IFERROR(F69/M69*1000,"")</f>
        <v/>
      </c>
      <c r="Q69" s="20">
        <f>IFERROR(F69/Supuestos!$E$14,"")</f>
        <v/>
      </c>
    </row>
    <row r="70">
      <c r="B70" s="25" t="inlineStr">
        <is>
          <t>GOOGLE SEARCH - NOT BRAND</t>
        </is>
      </c>
      <c r="C70" s="26" t="inlineStr">
        <is>
          <t>Google Ads</t>
        </is>
      </c>
      <c r="D70" s="26" t="inlineStr">
        <is>
          <t>Conversiones</t>
        </is>
      </c>
      <c r="E70" s="52" t="n">
        <v>0.33</v>
      </c>
      <c r="F70" s="27">
        <f>E70*Supuestos!$D$23</f>
        <v/>
      </c>
      <c r="G70" s="53" t="n">
        <v>2186.44</v>
      </c>
      <c r="H70" s="58" t="n">
        <v>0.0843</v>
      </c>
      <c r="I70" s="58" t="n">
        <v>0.0234</v>
      </c>
      <c r="J70" s="62">
        <f>Supuestos!$F$31</f>
        <v/>
      </c>
      <c r="K70" s="55">
        <f>I70*J70</f>
        <v/>
      </c>
      <c r="L70" s="30">
        <f>IFERROR(F70/G70,"")</f>
        <v/>
      </c>
      <c r="M70" s="30">
        <f>IFERROR(L70/H70,"")</f>
        <v/>
      </c>
      <c r="N70" s="63">
        <f>IFERROR(L70*K70,"")</f>
        <v/>
      </c>
      <c r="O70" s="64">
        <f>IFERROR(F70/N70,"")</f>
        <v/>
      </c>
      <c r="P70" s="27">
        <f>IFERROR(F70/M70*1000,"")</f>
        <v/>
      </c>
      <c r="Q70" s="27">
        <f>IFERROR(F70/Supuestos!$E$14,"")</f>
        <v/>
      </c>
    </row>
    <row r="71">
      <c r="B71" s="18" t="inlineStr">
        <is>
          <t>PERFORMANCE MAX</t>
        </is>
      </c>
      <c r="C71" s="19" t="inlineStr">
        <is>
          <t>Google Ads</t>
        </is>
      </c>
      <c r="D71" s="19" t="inlineStr">
        <is>
          <t>Conversiones</t>
        </is>
      </c>
      <c r="E71" s="52" t="n">
        <v>0.57</v>
      </c>
      <c r="F71" s="20">
        <f>E71*Supuestos!$D$23</f>
        <v/>
      </c>
      <c r="G71" s="53" t="n">
        <v>500.1</v>
      </c>
      <c r="H71" s="58" t="n">
        <v>0.0183</v>
      </c>
      <c r="I71" s="58" t="n">
        <v>0.007900000000000001</v>
      </c>
      <c r="J71" s="59">
        <f>Supuestos!$F$31</f>
        <v/>
      </c>
      <c r="K71" s="54">
        <f>I71*J71</f>
        <v/>
      </c>
      <c r="L71" s="23">
        <f>IFERROR(F71/G71,"")</f>
        <v/>
      </c>
      <c r="M71" s="23">
        <f>IFERROR(L71/H71,"")</f>
        <v/>
      </c>
      <c r="N71" s="60">
        <f>IFERROR(L71*K71,"")</f>
        <v/>
      </c>
      <c r="O71" s="61">
        <f>IFERROR(F71/N71,"")</f>
        <v/>
      </c>
      <c r="P71" s="20">
        <f>IFERROR(F71/M71*1000,"")</f>
        <v/>
      </c>
      <c r="Q71" s="20">
        <f>IFERROR(F71/Supuestos!$E$14,"")</f>
        <v/>
      </c>
    </row>
    <row r="72" ht="20" customHeight="1">
      <c r="B72" s="31" t="inlineStr">
        <is>
          <t>Subtotal Hogar</t>
        </is>
      </c>
      <c r="C72" s="40" t="n"/>
      <c r="D72" s="40" t="n"/>
      <c r="E72" s="33">
        <f>SUM(E69:E71)</f>
        <v/>
      </c>
      <c r="F72" s="32">
        <f>SUM(F69:F71)</f>
        <v/>
      </c>
      <c r="G72" s="57">
        <f>IFERROR(F72/L72,"")</f>
        <v/>
      </c>
      <c r="H72" s="56">
        <f>IFERROR(L72/M72,"")</f>
        <v/>
      </c>
      <c r="I72" s="40" t="n"/>
      <c r="J72" s="40" t="n"/>
      <c r="K72" s="56">
        <f>IFERROR(N72/L72,"")</f>
        <v/>
      </c>
      <c r="L72" s="34">
        <f>SUM(L69:L71)</f>
        <v/>
      </c>
      <c r="M72" s="34">
        <f>SUM(M69:M71)</f>
        <v/>
      </c>
      <c r="N72" s="65">
        <f>SUM(N69:N71)</f>
        <v/>
      </c>
      <c r="O72" s="32">
        <f>IFERROR(F72/N72,"")</f>
        <v/>
      </c>
      <c r="P72" s="57">
        <f>IFERROR(F72/M72*1000,"")</f>
        <v/>
      </c>
      <c r="Q72" s="57">
        <f>SUM(Q69:Q71)</f>
        <v/>
      </c>
    </row>
  </sheetData>
  <mergeCells count="43">
    <mergeCell ref="J24:L24"/>
    <mergeCell ref="B67:D67"/>
    <mergeCell ref="E33:F33"/>
    <mergeCell ref="E67:F67"/>
    <mergeCell ref="B6"/>
    <mergeCell ref="L8:N8"/>
    <mergeCell ref="D7:F7"/>
    <mergeCell ref="H7:J7"/>
    <mergeCell ref="J25:L25"/>
    <mergeCell ref="G40:J40"/>
    <mergeCell ref="K49:Q49"/>
    <mergeCell ref="P6:Q6"/>
    <mergeCell ref="J22:L22"/>
    <mergeCell ref="B49:D49"/>
    <mergeCell ref="B7"/>
    <mergeCell ref="P8:Q8"/>
    <mergeCell ref="B40:D40"/>
    <mergeCell ref="E40:F40"/>
    <mergeCell ref="D8:F8"/>
    <mergeCell ref="L6:N6"/>
    <mergeCell ref="M22:N22"/>
    <mergeCell ref="G67:J67"/>
    <mergeCell ref="K33:Q33"/>
    <mergeCell ref="B33:D33"/>
    <mergeCell ref="M25:N25"/>
    <mergeCell ref="P7:Q7"/>
    <mergeCell ref="E49:F49"/>
    <mergeCell ref="H8:J8"/>
    <mergeCell ref="J23:L23"/>
    <mergeCell ref="L7:N7"/>
    <mergeCell ref="B8"/>
    <mergeCell ref="M24:N24"/>
    <mergeCell ref="K40:Q40"/>
    <mergeCell ref="G49:J49"/>
    <mergeCell ref="M23:N23"/>
    <mergeCell ref="K58:Q58"/>
    <mergeCell ref="D6:F6"/>
    <mergeCell ref="B58:D58"/>
    <mergeCell ref="K67:Q67"/>
    <mergeCell ref="G33:J33"/>
    <mergeCell ref="E58:F58"/>
    <mergeCell ref="G58:J58"/>
    <mergeCell ref="H6:J6"/>
  </mergeCells>
  <conditionalFormatting sqref="E13:E17">
    <cfRule type="dataBar" priority="1">
      <dataBar>
        <cfvo type="num" val="0"/>
        <cfvo type="num" val="1"/>
        <color rgb="0059D7A2"/>
      </dataBar>
    </cfRule>
  </conditionalFormatting>
  <conditionalFormatting sqref="G14:G17">
    <cfRule type="colorScale" priority="2">
      <colorScale>
        <cfvo type="min"/>
        <cfvo type="max"/>
        <color rgb="00EAF9F3"/>
        <color rgb="00FDEAF5"/>
      </colorScale>
    </cfRule>
  </conditionalFormatting>
  <conditionalFormatting sqref="L13:L14">
    <cfRule type="dataBar" priority="3">
      <dataBar>
        <cfvo type="num" val="0"/>
        <cfvo type="num" val="1"/>
        <color rgb="0095D6EA"/>
      </dataBar>
    </cfRule>
  </conditionalFormatting>
  <conditionalFormatting sqref="M22:N25">
    <cfRule type="cellIs" priority="4" operator="equal" dxfId="0">
      <formula>"OK"</formula>
    </cfRule>
    <cfRule type="cellIs" priority="5" operator="equal" dxfId="1">
      <formula>"REVISAR"</formula>
    </cfRule>
  </conditionalFormatting>
  <pageMargins left="0.75" right="0.75" top="1" bottom="1" header="0.5" footer="0.5"/>
  <pageSetup orientation="landscape" fitToHeight="0" fitToWidth="1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tabColor rgb="0059D7A2"/>
    <outlinePr summaryBelow="1" summaryRight="1"/>
    <pageSetUpPr fitToPage="1"/>
  </sheetPr>
  <dimension ref="B2:K41"/>
  <sheetViews>
    <sheetView showGridLines="0" workbookViewId="0">
      <pane xSplit="2" topLeftCell="C1" activePane="topRight" state="frozen"/>
      <selection pane="topRight" activeCell="A1" sqref="A1"/>
    </sheetView>
  </sheetViews>
  <sheetFormatPr baseColWidth="8" defaultRowHeight="15"/>
  <cols>
    <col width="2.6" customWidth="1" min="1" max="1"/>
    <col width="30" customWidth="1" min="2" max="2"/>
    <col width="14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</cols>
  <sheetData>
    <row r="2">
      <c r="B2" s="1" t="inlineStr">
        <is>
          <t>zenda.</t>
        </is>
      </c>
    </row>
    <row r="3" ht="28" customHeight="1">
      <c r="B3" s="2" t="inlineStr">
        <is>
          <t>Inversión diaria  |  Cyber Monday 2026</t>
        </is>
      </c>
    </row>
    <row r="4">
      <c r="B4" s="3" t="inlineStr">
        <is>
          <t>Semana Cyber: inversión de cada campaña × curva diaria de Supuestos. Teaser: inversión pareja por día.</t>
        </is>
      </c>
    </row>
    <row r="6" ht="24" customHeight="1">
      <c r="B6" s="15" t="inlineStr">
        <is>
          <t>SEMANA CYBER</t>
        </is>
      </c>
      <c r="C6" s="16" t="n"/>
      <c r="D6" s="16" t="n"/>
      <c r="E6" s="16" t="n"/>
      <c r="F6" s="16" t="n"/>
      <c r="G6" s="16" t="n"/>
      <c r="H6" s="16" t="n"/>
      <c r="I6" s="16" t="n"/>
      <c r="J6" s="16" t="n"/>
      <c r="K6" s="16" t="n"/>
    </row>
    <row r="7" ht="22" customHeight="1">
      <c r="B7" s="46" t="inlineStr">
        <is>
          <t>Performance Auto</t>
        </is>
      </c>
      <c r="C7" s="47" t="n"/>
      <c r="D7" s="47" t="n"/>
      <c r="E7" s="47" t="n"/>
      <c r="F7" s="47" t="n"/>
      <c r="G7" s="47" t="n"/>
      <c r="H7" s="47" t="n"/>
      <c r="I7" s="47" t="n"/>
      <c r="J7" s="47" t="n"/>
      <c r="K7" s="47" t="n"/>
    </row>
    <row r="8" ht="30" customHeight="1">
      <c r="B8" s="17" t="inlineStr">
        <is>
          <t>Campaña</t>
        </is>
      </c>
      <c r="C8" s="17" t="inlineStr">
        <is>
          <t>Inversión</t>
        </is>
      </c>
      <c r="D8" s="66">
        <f>Supuestos!C36</f>
        <v/>
      </c>
      <c r="E8" s="66">
        <f>Supuestos!D36</f>
        <v/>
      </c>
      <c r="F8" s="66">
        <f>Supuestos!E36</f>
        <v/>
      </c>
      <c r="G8" s="66">
        <f>Supuestos!F36</f>
        <v/>
      </c>
      <c r="H8" s="66">
        <f>Supuestos!G36</f>
        <v/>
      </c>
      <c r="I8" s="66">
        <f>Supuestos!H36</f>
        <v/>
      </c>
      <c r="J8" s="66">
        <f>Supuestos!I36</f>
        <v/>
      </c>
      <c r="K8" s="17" t="inlineStr">
        <is>
          <t>Control</t>
        </is>
      </c>
    </row>
    <row r="9">
      <c r="B9" s="18">
        <f>'MP Cyber 2026'!B42</f>
        <v/>
      </c>
      <c r="C9" s="20">
        <f>'MP Cyber 2026'!F42</f>
        <v/>
      </c>
      <c r="D9" s="20">
        <f>$C9*Supuestos!C$37</f>
        <v/>
      </c>
      <c r="E9" s="20">
        <f>$C9*Supuestos!D$37</f>
        <v/>
      </c>
      <c r="F9" s="20">
        <f>$C9*Supuestos!E$37</f>
        <v/>
      </c>
      <c r="G9" s="20">
        <f>$C9*Supuestos!F$37</f>
        <v/>
      </c>
      <c r="H9" s="20">
        <f>$C9*Supuestos!G$37</f>
        <v/>
      </c>
      <c r="I9" s="20">
        <f>$C9*Supuestos!H$37</f>
        <v/>
      </c>
      <c r="J9" s="20">
        <f>$C9*Supuestos!I$37</f>
        <v/>
      </c>
      <c r="K9" s="67">
        <f>SUM(D9:J9)-C9</f>
        <v/>
      </c>
    </row>
    <row r="10">
      <c r="B10" s="25">
        <f>'MP Cyber 2026'!B43</f>
        <v/>
      </c>
      <c r="C10" s="27">
        <f>'MP Cyber 2026'!F43</f>
        <v/>
      </c>
      <c r="D10" s="27">
        <f>$C10*Supuestos!C$37</f>
        <v/>
      </c>
      <c r="E10" s="27">
        <f>$C10*Supuestos!D$37</f>
        <v/>
      </c>
      <c r="F10" s="27">
        <f>$C10*Supuestos!E$37</f>
        <v/>
      </c>
      <c r="G10" s="27">
        <f>$C10*Supuestos!F$37</f>
        <v/>
      </c>
      <c r="H10" s="27">
        <f>$C10*Supuestos!G$37</f>
        <v/>
      </c>
      <c r="I10" s="27">
        <f>$C10*Supuestos!H$37</f>
        <v/>
      </c>
      <c r="J10" s="27">
        <f>$C10*Supuestos!I$37</f>
        <v/>
      </c>
      <c r="K10" s="68">
        <f>SUM(D10:J10)-C10</f>
        <v/>
      </c>
    </row>
    <row r="11">
      <c r="B11" s="18">
        <f>'MP Cyber 2026'!B44</f>
        <v/>
      </c>
      <c r="C11" s="20">
        <f>'MP Cyber 2026'!F44</f>
        <v/>
      </c>
      <c r="D11" s="20">
        <f>$C11*Supuestos!C$37</f>
        <v/>
      </c>
      <c r="E11" s="20">
        <f>$C11*Supuestos!D$37</f>
        <v/>
      </c>
      <c r="F11" s="20">
        <f>$C11*Supuestos!E$37</f>
        <v/>
      </c>
      <c r="G11" s="20">
        <f>$C11*Supuestos!F$37</f>
        <v/>
      </c>
      <c r="H11" s="20">
        <f>$C11*Supuestos!G$37</f>
        <v/>
      </c>
      <c r="I11" s="20">
        <f>$C11*Supuestos!H$37</f>
        <v/>
      </c>
      <c r="J11" s="20">
        <f>$C11*Supuestos!I$37</f>
        <v/>
      </c>
      <c r="K11" s="67">
        <f>SUM(D11:J11)-C11</f>
        <v/>
      </c>
    </row>
    <row r="12">
      <c r="B12" s="25">
        <f>'MP Cyber 2026'!B45</f>
        <v/>
      </c>
      <c r="C12" s="27">
        <f>'MP Cyber 2026'!F45</f>
        <v/>
      </c>
      <c r="D12" s="27">
        <f>$C12*Supuestos!C$37</f>
        <v/>
      </c>
      <c r="E12" s="27">
        <f>$C12*Supuestos!D$37</f>
        <v/>
      </c>
      <c r="F12" s="27">
        <f>$C12*Supuestos!E$37</f>
        <v/>
      </c>
      <c r="G12" s="27">
        <f>$C12*Supuestos!F$37</f>
        <v/>
      </c>
      <c r="H12" s="27">
        <f>$C12*Supuestos!G$37</f>
        <v/>
      </c>
      <c r="I12" s="27">
        <f>$C12*Supuestos!H$37</f>
        <v/>
      </c>
      <c r="J12" s="27">
        <f>$C12*Supuestos!I$37</f>
        <v/>
      </c>
      <c r="K12" s="68">
        <f>SUM(D12:J12)-C12</f>
        <v/>
      </c>
    </row>
    <row r="13" ht="20" customHeight="1">
      <c r="B13" s="31" t="inlineStr">
        <is>
          <t>Subtotal Auto</t>
        </is>
      </c>
      <c r="C13" s="32">
        <f>SUM(C9:C12)</f>
        <v/>
      </c>
      <c r="D13" s="57">
        <f>SUM(D9:D12)</f>
        <v/>
      </c>
      <c r="E13" s="57">
        <f>SUM(E9:E12)</f>
        <v/>
      </c>
      <c r="F13" s="57">
        <f>SUM(F9:F12)</f>
        <v/>
      </c>
      <c r="G13" s="57">
        <f>SUM(G9:G12)</f>
        <v/>
      </c>
      <c r="H13" s="57">
        <f>SUM(H9:H12)</f>
        <v/>
      </c>
      <c r="I13" s="57">
        <f>SUM(I9:I12)</f>
        <v/>
      </c>
      <c r="J13" s="57">
        <f>SUM(J9:J12)</f>
        <v/>
      </c>
      <c r="K13" s="57">
        <f>SUM(K9:K12)</f>
        <v/>
      </c>
    </row>
    <row r="15" ht="22" customHeight="1">
      <c r="B15" s="46" t="inlineStr">
        <is>
          <t>Performance Moto</t>
        </is>
      </c>
      <c r="C15" s="47" t="n"/>
      <c r="D15" s="47" t="n"/>
      <c r="E15" s="47" t="n"/>
      <c r="F15" s="47" t="n"/>
      <c r="G15" s="47" t="n"/>
      <c r="H15" s="47" t="n"/>
      <c r="I15" s="47" t="n"/>
      <c r="J15" s="47" t="n"/>
      <c r="K15" s="47" t="n"/>
    </row>
    <row r="16" ht="30" customHeight="1">
      <c r="B16" s="17" t="inlineStr">
        <is>
          <t>Campaña</t>
        </is>
      </c>
      <c r="C16" s="17" t="inlineStr">
        <is>
          <t>Inversión</t>
        </is>
      </c>
      <c r="D16" s="66">
        <f>Supuestos!C36</f>
        <v/>
      </c>
      <c r="E16" s="66">
        <f>Supuestos!D36</f>
        <v/>
      </c>
      <c r="F16" s="66">
        <f>Supuestos!E36</f>
        <v/>
      </c>
      <c r="G16" s="66">
        <f>Supuestos!F36</f>
        <v/>
      </c>
      <c r="H16" s="66">
        <f>Supuestos!G36</f>
        <v/>
      </c>
      <c r="I16" s="66">
        <f>Supuestos!H36</f>
        <v/>
      </c>
      <c r="J16" s="66">
        <f>Supuestos!I36</f>
        <v/>
      </c>
      <c r="K16" s="17" t="inlineStr">
        <is>
          <t>Control</t>
        </is>
      </c>
    </row>
    <row r="17">
      <c r="B17" s="18">
        <f>'MP Cyber 2026'!B51</f>
        <v/>
      </c>
      <c r="C17" s="20">
        <f>'MP Cyber 2026'!F51</f>
        <v/>
      </c>
      <c r="D17" s="20">
        <f>$C17*Supuestos!C$37</f>
        <v/>
      </c>
      <c r="E17" s="20">
        <f>$C17*Supuestos!D$37</f>
        <v/>
      </c>
      <c r="F17" s="20">
        <f>$C17*Supuestos!E$37</f>
        <v/>
      </c>
      <c r="G17" s="20">
        <f>$C17*Supuestos!F$37</f>
        <v/>
      </c>
      <c r="H17" s="20">
        <f>$C17*Supuestos!G$37</f>
        <v/>
      </c>
      <c r="I17" s="20">
        <f>$C17*Supuestos!H$37</f>
        <v/>
      </c>
      <c r="J17" s="20">
        <f>$C17*Supuestos!I$37</f>
        <v/>
      </c>
      <c r="K17" s="67">
        <f>SUM(D17:J17)-C17</f>
        <v/>
      </c>
    </row>
    <row r="18">
      <c r="B18" s="25">
        <f>'MP Cyber 2026'!B52</f>
        <v/>
      </c>
      <c r="C18" s="27">
        <f>'MP Cyber 2026'!F52</f>
        <v/>
      </c>
      <c r="D18" s="27">
        <f>$C18*Supuestos!C$37</f>
        <v/>
      </c>
      <c r="E18" s="27">
        <f>$C18*Supuestos!D$37</f>
        <v/>
      </c>
      <c r="F18" s="27">
        <f>$C18*Supuestos!E$37</f>
        <v/>
      </c>
      <c r="G18" s="27">
        <f>$C18*Supuestos!F$37</f>
        <v/>
      </c>
      <c r="H18" s="27">
        <f>$C18*Supuestos!G$37</f>
        <v/>
      </c>
      <c r="I18" s="27">
        <f>$C18*Supuestos!H$37</f>
        <v/>
      </c>
      <c r="J18" s="27">
        <f>$C18*Supuestos!I$37</f>
        <v/>
      </c>
      <c r="K18" s="68">
        <f>SUM(D18:J18)-C18</f>
        <v/>
      </c>
    </row>
    <row r="19">
      <c r="B19" s="18">
        <f>'MP Cyber 2026'!B53</f>
        <v/>
      </c>
      <c r="C19" s="20">
        <f>'MP Cyber 2026'!F53</f>
        <v/>
      </c>
      <c r="D19" s="20">
        <f>$C19*Supuestos!C$37</f>
        <v/>
      </c>
      <c r="E19" s="20">
        <f>$C19*Supuestos!D$37</f>
        <v/>
      </c>
      <c r="F19" s="20">
        <f>$C19*Supuestos!E$37</f>
        <v/>
      </c>
      <c r="G19" s="20">
        <f>$C19*Supuestos!F$37</f>
        <v/>
      </c>
      <c r="H19" s="20">
        <f>$C19*Supuestos!G$37</f>
        <v/>
      </c>
      <c r="I19" s="20">
        <f>$C19*Supuestos!H$37</f>
        <v/>
      </c>
      <c r="J19" s="20">
        <f>$C19*Supuestos!I$37</f>
        <v/>
      </c>
      <c r="K19" s="67">
        <f>SUM(D19:J19)-C19</f>
        <v/>
      </c>
    </row>
    <row r="20">
      <c r="B20" s="25">
        <f>'MP Cyber 2026'!B54</f>
        <v/>
      </c>
      <c r="C20" s="27">
        <f>'MP Cyber 2026'!F54</f>
        <v/>
      </c>
      <c r="D20" s="27">
        <f>$C20*Supuestos!C$37</f>
        <v/>
      </c>
      <c r="E20" s="27">
        <f>$C20*Supuestos!D$37</f>
        <v/>
      </c>
      <c r="F20" s="27">
        <f>$C20*Supuestos!E$37</f>
        <v/>
      </c>
      <c r="G20" s="27">
        <f>$C20*Supuestos!F$37</f>
        <v/>
      </c>
      <c r="H20" s="27">
        <f>$C20*Supuestos!G$37</f>
        <v/>
      </c>
      <c r="I20" s="27">
        <f>$C20*Supuestos!H$37</f>
        <v/>
      </c>
      <c r="J20" s="27">
        <f>$C20*Supuestos!I$37</f>
        <v/>
      </c>
      <c r="K20" s="68">
        <f>SUM(D20:J20)-C20</f>
        <v/>
      </c>
    </row>
    <row r="21" ht="20" customHeight="1">
      <c r="B21" s="31" t="inlineStr">
        <is>
          <t>Subtotal Moto</t>
        </is>
      </c>
      <c r="C21" s="32">
        <f>SUM(C17:C20)</f>
        <v/>
      </c>
      <c r="D21" s="57">
        <f>SUM(D17:D20)</f>
        <v/>
      </c>
      <c r="E21" s="57">
        <f>SUM(E17:E20)</f>
        <v/>
      </c>
      <c r="F21" s="57">
        <f>SUM(F17:F20)</f>
        <v/>
      </c>
      <c r="G21" s="57">
        <f>SUM(G17:G20)</f>
        <v/>
      </c>
      <c r="H21" s="57">
        <f>SUM(H17:H20)</f>
        <v/>
      </c>
      <c r="I21" s="57">
        <f>SUM(I17:I20)</f>
        <v/>
      </c>
      <c r="J21" s="57">
        <f>SUM(J17:J20)</f>
        <v/>
      </c>
      <c r="K21" s="57">
        <f>SUM(K17:K20)</f>
        <v/>
      </c>
    </row>
    <row r="23" ht="22" customHeight="1">
      <c r="B23" s="46" t="inlineStr">
        <is>
          <t>Performance Movilidad</t>
        </is>
      </c>
      <c r="C23" s="47" t="n"/>
      <c r="D23" s="47" t="n"/>
      <c r="E23" s="47" t="n"/>
      <c r="F23" s="47" t="n"/>
      <c r="G23" s="47" t="n"/>
      <c r="H23" s="47" t="n"/>
      <c r="I23" s="47" t="n"/>
      <c r="J23" s="47" t="n"/>
      <c r="K23" s="47" t="n"/>
    </row>
    <row r="24" ht="30" customHeight="1">
      <c r="B24" s="17" t="inlineStr">
        <is>
          <t>Campaña</t>
        </is>
      </c>
      <c r="C24" s="17" t="inlineStr">
        <is>
          <t>Inversión</t>
        </is>
      </c>
      <c r="D24" s="66">
        <f>Supuestos!C36</f>
        <v/>
      </c>
      <c r="E24" s="66">
        <f>Supuestos!D36</f>
        <v/>
      </c>
      <c r="F24" s="66">
        <f>Supuestos!E36</f>
        <v/>
      </c>
      <c r="G24" s="66">
        <f>Supuestos!F36</f>
        <v/>
      </c>
      <c r="H24" s="66">
        <f>Supuestos!G36</f>
        <v/>
      </c>
      <c r="I24" s="66">
        <f>Supuestos!H36</f>
        <v/>
      </c>
      <c r="J24" s="66">
        <f>Supuestos!I36</f>
        <v/>
      </c>
      <c r="K24" s="17" t="inlineStr">
        <is>
          <t>Control</t>
        </is>
      </c>
    </row>
    <row r="25">
      <c r="B25" s="18">
        <f>'MP Cyber 2026'!B60</f>
        <v/>
      </c>
      <c r="C25" s="20">
        <f>'MP Cyber 2026'!F60</f>
        <v/>
      </c>
      <c r="D25" s="20">
        <f>$C25*Supuestos!C$37</f>
        <v/>
      </c>
      <c r="E25" s="20">
        <f>$C25*Supuestos!D$37</f>
        <v/>
      </c>
      <c r="F25" s="20">
        <f>$C25*Supuestos!E$37</f>
        <v/>
      </c>
      <c r="G25" s="20">
        <f>$C25*Supuestos!F$37</f>
        <v/>
      </c>
      <c r="H25" s="20">
        <f>$C25*Supuestos!G$37</f>
        <v/>
      </c>
      <c r="I25" s="20">
        <f>$C25*Supuestos!H$37</f>
        <v/>
      </c>
      <c r="J25" s="20">
        <f>$C25*Supuestos!I$37</f>
        <v/>
      </c>
      <c r="K25" s="67">
        <f>SUM(D25:J25)-C25</f>
        <v/>
      </c>
    </row>
    <row r="26">
      <c r="B26" s="25">
        <f>'MP Cyber 2026'!B61</f>
        <v/>
      </c>
      <c r="C26" s="27">
        <f>'MP Cyber 2026'!F61</f>
        <v/>
      </c>
      <c r="D26" s="27">
        <f>$C26*Supuestos!C$37</f>
        <v/>
      </c>
      <c r="E26" s="27">
        <f>$C26*Supuestos!D$37</f>
        <v/>
      </c>
      <c r="F26" s="27">
        <f>$C26*Supuestos!E$37</f>
        <v/>
      </c>
      <c r="G26" s="27">
        <f>$C26*Supuestos!F$37</f>
        <v/>
      </c>
      <c r="H26" s="27">
        <f>$C26*Supuestos!G$37</f>
        <v/>
      </c>
      <c r="I26" s="27">
        <f>$C26*Supuestos!H$37</f>
        <v/>
      </c>
      <c r="J26" s="27">
        <f>$C26*Supuestos!I$37</f>
        <v/>
      </c>
      <c r="K26" s="68">
        <f>SUM(D26:J26)-C26</f>
        <v/>
      </c>
    </row>
    <row r="27">
      <c r="B27" s="18">
        <f>'MP Cyber 2026'!B62</f>
        <v/>
      </c>
      <c r="C27" s="20">
        <f>'MP Cyber 2026'!F62</f>
        <v/>
      </c>
      <c r="D27" s="20">
        <f>$C27*Supuestos!C$37</f>
        <v/>
      </c>
      <c r="E27" s="20">
        <f>$C27*Supuestos!D$37</f>
        <v/>
      </c>
      <c r="F27" s="20">
        <f>$C27*Supuestos!E$37</f>
        <v/>
      </c>
      <c r="G27" s="20">
        <f>$C27*Supuestos!F$37</f>
        <v/>
      </c>
      <c r="H27" s="20">
        <f>$C27*Supuestos!G$37</f>
        <v/>
      </c>
      <c r="I27" s="20">
        <f>$C27*Supuestos!H$37</f>
        <v/>
      </c>
      <c r="J27" s="20">
        <f>$C27*Supuestos!I$37</f>
        <v/>
      </c>
      <c r="K27" s="67">
        <f>SUM(D27:J27)-C27</f>
        <v/>
      </c>
    </row>
    <row r="28">
      <c r="B28" s="25">
        <f>'MP Cyber 2026'!B63</f>
        <v/>
      </c>
      <c r="C28" s="27">
        <f>'MP Cyber 2026'!F63</f>
        <v/>
      </c>
      <c r="D28" s="27">
        <f>$C28*Supuestos!C$37</f>
        <v/>
      </c>
      <c r="E28" s="27">
        <f>$C28*Supuestos!D$37</f>
        <v/>
      </c>
      <c r="F28" s="27">
        <f>$C28*Supuestos!E$37</f>
        <v/>
      </c>
      <c r="G28" s="27">
        <f>$C28*Supuestos!F$37</f>
        <v/>
      </c>
      <c r="H28" s="27">
        <f>$C28*Supuestos!G$37</f>
        <v/>
      </c>
      <c r="I28" s="27">
        <f>$C28*Supuestos!H$37</f>
        <v/>
      </c>
      <c r="J28" s="27">
        <f>$C28*Supuestos!I$37</f>
        <v/>
      </c>
      <c r="K28" s="68">
        <f>SUM(D28:J28)-C28</f>
        <v/>
      </c>
    </row>
    <row r="29" ht="20" customHeight="1">
      <c r="B29" s="31" t="inlineStr">
        <is>
          <t>Subtotal Movilidad</t>
        </is>
      </c>
      <c r="C29" s="32">
        <f>SUM(C25:C28)</f>
        <v/>
      </c>
      <c r="D29" s="57">
        <f>SUM(D25:D28)</f>
        <v/>
      </c>
      <c r="E29" s="57">
        <f>SUM(E25:E28)</f>
        <v/>
      </c>
      <c r="F29" s="57">
        <f>SUM(F25:F28)</f>
        <v/>
      </c>
      <c r="G29" s="57">
        <f>SUM(G25:G28)</f>
        <v/>
      </c>
      <c r="H29" s="57">
        <f>SUM(H25:H28)</f>
        <v/>
      </c>
      <c r="I29" s="57">
        <f>SUM(I25:I28)</f>
        <v/>
      </c>
      <c r="J29" s="57">
        <f>SUM(J25:J28)</f>
        <v/>
      </c>
      <c r="K29" s="57">
        <f>SUM(K25:K28)</f>
        <v/>
      </c>
    </row>
    <row r="31" ht="22" customHeight="1">
      <c r="B31" s="46" t="inlineStr">
        <is>
          <t>Performance Hogar</t>
        </is>
      </c>
      <c r="C31" s="47" t="n"/>
      <c r="D31" s="47" t="n"/>
      <c r="E31" s="47" t="n"/>
      <c r="F31" s="47" t="n"/>
      <c r="G31" s="47" t="n"/>
      <c r="H31" s="47" t="n"/>
      <c r="I31" s="47" t="n"/>
      <c r="J31" s="47" t="n"/>
      <c r="K31" s="47" t="n"/>
    </row>
    <row r="32" ht="30" customHeight="1">
      <c r="B32" s="17" t="inlineStr">
        <is>
          <t>Campaña</t>
        </is>
      </c>
      <c r="C32" s="17" t="inlineStr">
        <is>
          <t>Inversión</t>
        </is>
      </c>
      <c r="D32" s="66">
        <f>Supuestos!C36</f>
        <v/>
      </c>
      <c r="E32" s="66">
        <f>Supuestos!D36</f>
        <v/>
      </c>
      <c r="F32" s="66">
        <f>Supuestos!E36</f>
        <v/>
      </c>
      <c r="G32" s="66">
        <f>Supuestos!F36</f>
        <v/>
      </c>
      <c r="H32" s="66">
        <f>Supuestos!G36</f>
        <v/>
      </c>
      <c r="I32" s="66">
        <f>Supuestos!H36</f>
        <v/>
      </c>
      <c r="J32" s="66">
        <f>Supuestos!I36</f>
        <v/>
      </c>
      <c r="K32" s="17" t="inlineStr">
        <is>
          <t>Control</t>
        </is>
      </c>
    </row>
    <row r="33">
      <c r="B33" s="18">
        <f>'MP Cyber 2026'!B69</f>
        <v/>
      </c>
      <c r="C33" s="20">
        <f>'MP Cyber 2026'!F69</f>
        <v/>
      </c>
      <c r="D33" s="20">
        <f>$C33*Supuestos!C$37</f>
        <v/>
      </c>
      <c r="E33" s="20">
        <f>$C33*Supuestos!D$37</f>
        <v/>
      </c>
      <c r="F33" s="20">
        <f>$C33*Supuestos!E$37</f>
        <v/>
      </c>
      <c r="G33" s="20">
        <f>$C33*Supuestos!F$37</f>
        <v/>
      </c>
      <c r="H33" s="20">
        <f>$C33*Supuestos!G$37</f>
        <v/>
      </c>
      <c r="I33" s="20">
        <f>$C33*Supuestos!H$37</f>
        <v/>
      </c>
      <c r="J33" s="20">
        <f>$C33*Supuestos!I$37</f>
        <v/>
      </c>
      <c r="K33" s="67">
        <f>SUM(D33:J33)-C33</f>
        <v/>
      </c>
    </row>
    <row r="34">
      <c r="B34" s="25">
        <f>'MP Cyber 2026'!B70</f>
        <v/>
      </c>
      <c r="C34" s="27">
        <f>'MP Cyber 2026'!F70</f>
        <v/>
      </c>
      <c r="D34" s="27">
        <f>$C34*Supuestos!C$37</f>
        <v/>
      </c>
      <c r="E34" s="27">
        <f>$C34*Supuestos!D$37</f>
        <v/>
      </c>
      <c r="F34" s="27">
        <f>$C34*Supuestos!E$37</f>
        <v/>
      </c>
      <c r="G34" s="27">
        <f>$C34*Supuestos!F$37</f>
        <v/>
      </c>
      <c r="H34" s="27">
        <f>$C34*Supuestos!G$37</f>
        <v/>
      </c>
      <c r="I34" s="27">
        <f>$C34*Supuestos!H$37</f>
        <v/>
      </c>
      <c r="J34" s="27">
        <f>$C34*Supuestos!I$37</f>
        <v/>
      </c>
      <c r="K34" s="68">
        <f>SUM(D34:J34)-C34</f>
        <v/>
      </c>
    </row>
    <row r="35">
      <c r="B35" s="18">
        <f>'MP Cyber 2026'!B71</f>
        <v/>
      </c>
      <c r="C35" s="20">
        <f>'MP Cyber 2026'!F71</f>
        <v/>
      </c>
      <c r="D35" s="20">
        <f>$C35*Supuestos!C$37</f>
        <v/>
      </c>
      <c r="E35" s="20">
        <f>$C35*Supuestos!D$37</f>
        <v/>
      </c>
      <c r="F35" s="20">
        <f>$C35*Supuestos!E$37</f>
        <v/>
      </c>
      <c r="G35" s="20">
        <f>$C35*Supuestos!F$37</f>
        <v/>
      </c>
      <c r="H35" s="20">
        <f>$C35*Supuestos!G$37</f>
        <v/>
      </c>
      <c r="I35" s="20">
        <f>$C35*Supuestos!H$37</f>
        <v/>
      </c>
      <c r="J35" s="20">
        <f>$C35*Supuestos!I$37</f>
        <v/>
      </c>
      <c r="K35" s="67">
        <f>SUM(D35:J35)-C35</f>
        <v/>
      </c>
    </row>
    <row r="36" ht="20" customHeight="1">
      <c r="B36" s="31" t="inlineStr">
        <is>
          <t>Subtotal Hogar</t>
        </is>
      </c>
      <c r="C36" s="32">
        <f>SUM(C33:C35)</f>
        <v/>
      </c>
      <c r="D36" s="57">
        <f>SUM(D33:D35)</f>
        <v/>
      </c>
      <c r="E36" s="57">
        <f>SUM(E33:E35)</f>
        <v/>
      </c>
      <c r="F36" s="57">
        <f>SUM(F33:F35)</f>
        <v/>
      </c>
      <c r="G36" s="57">
        <f>SUM(G33:G35)</f>
        <v/>
      </c>
      <c r="H36" s="57">
        <f>SUM(H33:H35)</f>
        <v/>
      </c>
      <c r="I36" s="57">
        <f>SUM(I33:I35)</f>
        <v/>
      </c>
      <c r="J36" s="57">
        <f>SUM(J33:J35)</f>
        <v/>
      </c>
      <c r="K36" s="57">
        <f>SUM(K33:K35)</f>
        <v/>
      </c>
    </row>
    <row r="38" ht="24" customHeight="1">
      <c r="B38" s="15" t="inlineStr">
        <is>
          <t>TEASER</t>
        </is>
      </c>
      <c r="C38" s="16" t="n"/>
      <c r="D38" s="16" t="n"/>
      <c r="E38" s="16" t="n"/>
      <c r="F38" s="16" t="n"/>
      <c r="G38" s="16" t="n"/>
      <c r="H38" s="16" t="n"/>
      <c r="I38" s="16" t="n"/>
      <c r="J38" s="16" t="n"/>
      <c r="K38" s="16" t="n"/>
    </row>
    <row r="39" ht="30" customHeight="1">
      <c r="B39" s="17" t="inlineStr">
        <is>
          <t>Campaña</t>
        </is>
      </c>
      <c r="C39" s="17" t="inlineStr">
        <is>
          <t>Inversión</t>
        </is>
      </c>
      <c r="D39" s="17" t="inlineStr">
        <is>
          <t>Inicio</t>
        </is>
      </c>
      <c r="E39" s="17" t="inlineStr">
        <is>
          <t>Fin</t>
        </is>
      </c>
      <c r="F39" s="17" t="inlineStr">
        <is>
          <t>Días</t>
        </is>
      </c>
      <c r="G39" s="17" t="inlineStr">
        <is>
          <t>Por día</t>
        </is>
      </c>
    </row>
    <row r="40">
      <c r="B40" s="18">
        <f>'MP Cyber 2026'!B35</f>
        <v/>
      </c>
      <c r="C40" s="20">
        <f>'MP Cyber 2026'!F35</f>
        <v/>
      </c>
      <c r="D40" s="69">
        <f>Supuestos!$C$13</f>
        <v/>
      </c>
      <c r="E40" s="69">
        <f>Supuestos!$D$13</f>
        <v/>
      </c>
      <c r="F40" s="23">
        <f>Supuestos!$E$13</f>
        <v/>
      </c>
      <c r="G40" s="61">
        <f>IFERROR(C40/F40,"")</f>
        <v/>
      </c>
    </row>
    <row r="41">
      <c r="B41" s="25">
        <f>'MP Cyber 2026'!B36</f>
        <v/>
      </c>
      <c r="C41" s="27">
        <f>'MP Cyber 2026'!F36</f>
        <v/>
      </c>
      <c r="D41" s="70">
        <f>Supuestos!$C$13</f>
        <v/>
      </c>
      <c r="E41" s="70">
        <f>Supuestos!$D$13</f>
        <v/>
      </c>
      <c r="F41" s="30">
        <f>Supuestos!$E$13</f>
        <v/>
      </c>
      <c r="G41" s="64">
        <f>IFERROR(C41/F41,"")</f>
        <v/>
      </c>
    </row>
  </sheetData>
  <conditionalFormatting sqref="D9:J12">
    <cfRule type="colorScale" priority="1">
      <colorScale>
        <cfvo type="min"/>
        <cfvo type="max"/>
        <color rgb="00FFFFFF"/>
        <color rgb="0059D7A2"/>
      </colorScale>
    </cfRule>
  </conditionalFormatting>
  <conditionalFormatting sqref="D17:J20">
    <cfRule type="colorScale" priority="2">
      <colorScale>
        <cfvo type="min"/>
        <cfvo type="max"/>
        <color rgb="00FFFFFF"/>
        <color rgb="0059D7A2"/>
      </colorScale>
    </cfRule>
  </conditionalFormatting>
  <conditionalFormatting sqref="D25:J28">
    <cfRule type="colorScale" priority="3">
      <colorScale>
        <cfvo type="min"/>
        <cfvo type="max"/>
        <color rgb="00FFFFFF"/>
        <color rgb="0059D7A2"/>
      </colorScale>
    </cfRule>
  </conditionalFormatting>
  <conditionalFormatting sqref="D33:J35">
    <cfRule type="colorScale" priority="4">
      <colorScale>
        <cfvo type="min"/>
        <cfvo type="max"/>
        <color rgb="00FFFFFF"/>
        <color rgb="0059D7A2"/>
      </colorScale>
    </cfRule>
  </conditionalFormatting>
  <pageMargins left="0.75" right="0.75" top="1" bottom="1" header="0.5" footer="0.5"/>
  <pageSetup orientation="landscape" fitToHeight="0" fitToWidth="1"/>
</worksheet>
</file>

<file path=xl/worksheets/sheet3.xml><?xml version="1.0" encoding="utf-8"?>
<worksheet xmlns="http://schemas.openxmlformats.org/spreadsheetml/2006/main">
  <sheetPr>
    <tabColor rgb="0059D7A2"/>
    <outlinePr summaryBelow="1" summaryRight="1"/>
    <pageSetUpPr fitToPage="1"/>
  </sheetPr>
  <dimension ref="B2:I39"/>
  <sheetViews>
    <sheetView showGridLines="0" workbookViewId="0">
      <selection activeCell="A1" sqref="A1"/>
    </sheetView>
  </sheetViews>
  <sheetFormatPr baseColWidth="8" defaultRowHeight="15"/>
  <cols>
    <col width="2.6" customWidth="1" min="1" max="1"/>
    <col width="32" customWidth="1" min="2" max="2"/>
    <col width="18" customWidth="1" min="3" max="3"/>
    <col width="18" customWidth="1" min="4" max="4"/>
    <col width="16" customWidth="1" min="5" max="5"/>
    <col width="14" customWidth="1" min="6" max="6"/>
    <col width="14" customWidth="1" min="7" max="7"/>
    <col width="14" customWidth="1" min="8" max="8"/>
    <col width="14" customWidth="1" min="9" max="9"/>
    <col width="3" customWidth="1" min="10" max="10"/>
    <col width="60" customWidth="1" min="11" max="11"/>
  </cols>
  <sheetData>
    <row r="2">
      <c r="B2" s="1" t="inlineStr">
        <is>
          <t>zenda.</t>
        </is>
      </c>
    </row>
    <row r="3" ht="28" customHeight="1">
      <c r="B3" s="2" t="inlineStr">
        <is>
          <t>Supuestos del Media Plan</t>
        </is>
      </c>
    </row>
    <row r="4">
      <c r="B4" s="3" t="inlineStr">
        <is>
          <t>Lo único que se edita a mano está acá. El MP y el BGT Diario se recalculan solos.</t>
        </is>
      </c>
    </row>
    <row r="6">
      <c r="B6" s="71" t="inlineStr">
        <is>
          <t>REFERENCIAS</t>
        </is>
      </c>
    </row>
    <row r="7">
      <c r="B7" s="41" t="inlineStr">
        <is>
          <t>Dato cargado a mano</t>
        </is>
      </c>
    </row>
    <row r="8">
      <c r="B8" s="72" t="inlineStr">
        <is>
          <t>Pendiente de confirmar con el cliente</t>
        </is>
      </c>
    </row>
    <row r="9">
      <c r="B9" s="19" t="inlineStr">
        <is>
          <t>Fórmula (no tocar)</t>
        </is>
      </c>
    </row>
    <row r="11" ht="24" customHeight="1">
      <c r="B11" s="15" t="inlineStr">
        <is>
          <t>FECHAS</t>
        </is>
      </c>
      <c r="C11" s="16" t="n"/>
      <c r="D11" s="16" t="n"/>
      <c r="E11" s="16" t="n"/>
    </row>
    <row r="12" ht="30" customHeight="1">
      <c r="B12" s="17" t="inlineStr">
        <is>
          <t>Etapa</t>
        </is>
      </c>
      <c r="C12" s="17" t="inlineStr">
        <is>
          <t>Inicio</t>
        </is>
      </c>
      <c r="D12" s="17" t="inlineStr">
        <is>
          <t>Fin</t>
        </is>
      </c>
      <c r="E12" s="17" t="inlineStr">
        <is>
          <t>Días</t>
        </is>
      </c>
    </row>
    <row r="13">
      <c r="B13" s="18" t="inlineStr">
        <is>
          <t>Teaser</t>
        </is>
      </c>
      <c r="C13" s="73" t="n">
        <v>46323</v>
      </c>
      <c r="D13" s="73" t="n">
        <v>46327</v>
      </c>
      <c r="E13" s="23">
        <f>D13-C13+1</f>
        <v/>
      </c>
    </row>
    <row r="14">
      <c r="B14" s="18" t="inlineStr">
        <is>
          <t>Cyber Monday + Cyber Week</t>
        </is>
      </c>
      <c r="C14" s="73" t="n">
        <v>46328</v>
      </c>
      <c r="D14" s="73" t="n">
        <v>46334</v>
      </c>
      <c r="E14" s="23">
        <f>D14-C14+1</f>
        <v/>
      </c>
    </row>
    <row r="17" ht="24" customHeight="1">
      <c r="B17" s="15" t="inlineStr">
        <is>
          <t>PRESUPUESTO POR PRODUCTO</t>
        </is>
      </c>
      <c r="C17" s="16" t="n"/>
      <c r="D17" s="16" t="n"/>
      <c r="E17" s="16" t="n"/>
    </row>
    <row r="18" ht="30" customHeight="1">
      <c r="B18" s="17" t="inlineStr">
        <is>
          <t>Producto</t>
        </is>
      </c>
      <c r="C18" s="17" t="inlineStr">
        <is>
          <t>Etapa</t>
        </is>
      </c>
      <c r="D18" s="17" t="inlineStr">
        <is>
          <t>Inversión</t>
        </is>
      </c>
      <c r="E18" s="17" t="inlineStr">
        <is>
          <t>% del total</t>
        </is>
      </c>
    </row>
    <row r="19">
      <c r="B19" s="18" t="inlineStr">
        <is>
          <t>Teaser</t>
        </is>
      </c>
      <c r="C19" s="19" t="inlineStr">
        <is>
          <t>Teaser</t>
        </is>
      </c>
      <c r="D19" s="74" t="n">
        <v>325000</v>
      </c>
      <c r="E19" s="21">
        <f>IFERROR(D19/$D$24,"")</f>
        <v/>
      </c>
    </row>
    <row r="20">
      <c r="B20" s="25" t="inlineStr">
        <is>
          <t>Auto</t>
        </is>
      </c>
      <c r="C20" s="26" t="inlineStr">
        <is>
          <t>Performance</t>
        </is>
      </c>
      <c r="D20" s="74" t="n">
        <v>5700000</v>
      </c>
      <c r="E20" s="28">
        <f>IFERROR(D20/$D$24,"")</f>
        <v/>
      </c>
    </row>
    <row r="21">
      <c r="B21" s="18" t="inlineStr">
        <is>
          <t>Moto</t>
        </is>
      </c>
      <c r="C21" s="19" t="inlineStr">
        <is>
          <t>Performance</t>
        </is>
      </c>
      <c r="D21" s="74" t="n">
        <v>1500000</v>
      </c>
      <c r="E21" s="21">
        <f>IFERROR(D21/$D$24,"")</f>
        <v/>
      </c>
    </row>
    <row r="22">
      <c r="B22" s="25" t="inlineStr">
        <is>
          <t>Movilidad</t>
        </is>
      </c>
      <c r="C22" s="26" t="inlineStr">
        <is>
          <t>Performance</t>
        </is>
      </c>
      <c r="D22" s="74" t="n">
        <v>980000</v>
      </c>
      <c r="E22" s="28">
        <f>IFERROR(D22/$D$24,"")</f>
        <v/>
      </c>
    </row>
    <row r="23">
      <c r="B23" s="18" t="inlineStr">
        <is>
          <t>Hogar</t>
        </is>
      </c>
      <c r="C23" s="19" t="inlineStr">
        <is>
          <t>Performance</t>
        </is>
      </c>
      <c r="D23" s="74" t="n">
        <v>910000</v>
      </c>
      <c r="E23" s="21">
        <f>IFERROR(D23/$D$24,"")</f>
        <v/>
      </c>
    </row>
    <row r="24" ht="20" customHeight="1">
      <c r="B24" s="31" t="inlineStr">
        <is>
          <t>TOTAL</t>
        </is>
      </c>
      <c r="C24" s="40" t="n"/>
      <c r="D24" s="32">
        <f>SUM(D19:D23)</f>
        <v/>
      </c>
      <c r="E24" s="33">
        <f>SUM(E19:E23)</f>
        <v/>
      </c>
    </row>
    <row r="26" ht="24" customHeight="1">
      <c r="B26" s="15" t="inlineStr">
        <is>
          <t>REFERENCIA CYBER 2025 Y AJUSTE DE CONVERSIONES</t>
        </is>
      </c>
      <c r="C26" s="16" t="n"/>
      <c r="D26" s="16" t="n"/>
      <c r="E26" s="16" t="n"/>
      <c r="F26" s="16" t="n"/>
    </row>
    <row r="27" ht="30" customHeight="1">
      <c r="B27" s="17" t="inlineStr">
        <is>
          <t>Producto</t>
        </is>
      </c>
      <c r="C27" s="17" t="inlineStr">
        <is>
          <t>Conv. proyectadas 2025</t>
        </is>
      </c>
      <c r="D27" s="17" t="inlineStr">
        <is>
          <t>Conv. reales 2025</t>
        </is>
      </c>
      <c r="E27" s="17" t="inlineStr">
        <is>
          <t>Cumplimiento 2025</t>
        </is>
      </c>
      <c r="F27" s="17" t="inlineStr">
        <is>
          <t>Ajuste 2026</t>
        </is>
      </c>
    </row>
    <row r="28">
      <c r="B28" s="18" t="inlineStr">
        <is>
          <t>Auto</t>
        </is>
      </c>
      <c r="C28" s="75" t="n">
        <v>215</v>
      </c>
      <c r="D28" s="75" t="n">
        <v>169.24</v>
      </c>
      <c r="E28" s="21">
        <f>IFERROR(D28/C28,"")</f>
        <v/>
      </c>
      <c r="F28" s="76">
        <f>MIN(1,E28)</f>
        <v/>
      </c>
    </row>
    <row r="29">
      <c r="B29" s="25" t="inlineStr">
        <is>
          <t>Moto</t>
        </is>
      </c>
      <c r="C29" s="75" t="n">
        <v>243</v>
      </c>
      <c r="D29" s="75" t="n">
        <v>234.71</v>
      </c>
      <c r="E29" s="28">
        <f>IFERROR(D29/C29,"")</f>
        <v/>
      </c>
      <c r="F29" s="77">
        <f>MIN(1,E29)</f>
        <v/>
      </c>
    </row>
    <row r="30">
      <c r="B30" s="18" t="inlineStr">
        <is>
          <t>Movilidad</t>
        </is>
      </c>
      <c r="C30" s="75" t="n">
        <v>84</v>
      </c>
      <c r="D30" s="75" t="n">
        <v>55.61</v>
      </c>
      <c r="E30" s="21">
        <f>IFERROR(D30/C30,"")</f>
        <v/>
      </c>
      <c r="F30" s="76">
        <f>MIN(1,E30)</f>
        <v/>
      </c>
    </row>
    <row r="31">
      <c r="B31" s="25" t="inlineStr">
        <is>
          <t>Hogar</t>
        </is>
      </c>
      <c r="C31" s="75" t="n">
        <v>16</v>
      </c>
      <c r="D31" s="75" t="n">
        <v>10</v>
      </c>
      <c r="E31" s="28">
        <f>IFERROR(D31/C31,"")</f>
        <v/>
      </c>
      <c r="F31" s="77">
        <f>MIN(1,E31)</f>
        <v/>
      </c>
    </row>
    <row r="32">
      <c r="B32" s="3" t="inlineStr">
        <is>
          <t>Fuente: hoja "Conversiones - Plataforma" del MP Cyber 2025. El ajuste (tope 100 %) multiplica la Conv. Rate del mes anterior; se puede pisar a mano.</t>
        </is>
      </c>
    </row>
    <row r="34" ht="24" customHeight="1">
      <c r="B34" s="15" t="inlineStr">
        <is>
          <t>DISTRIBUCIÓN DIARIA DE LA SEMANA CYBER</t>
        </is>
      </c>
      <c r="C34" s="16" t="n"/>
      <c r="D34" s="16" t="n"/>
      <c r="E34" s="16" t="n"/>
      <c r="F34" s="16" t="n"/>
      <c r="G34" s="16" t="n"/>
      <c r="H34" s="16" t="n"/>
      <c r="I34" s="16" t="n"/>
    </row>
    <row r="35" ht="30" customHeight="1">
      <c r="B35" s="17" t="inlineStr"/>
      <c r="C35" s="17" t="inlineStr">
        <is>
          <t>Día 1</t>
        </is>
      </c>
      <c r="D35" s="17" t="inlineStr">
        <is>
          <t>Día 2</t>
        </is>
      </c>
      <c r="E35" s="17" t="inlineStr">
        <is>
          <t>Día 3</t>
        </is>
      </c>
      <c r="F35" s="17" t="inlineStr">
        <is>
          <t>Día 4</t>
        </is>
      </c>
      <c r="G35" s="17" t="inlineStr">
        <is>
          <t>Día 5</t>
        </is>
      </c>
      <c r="H35" s="17" t="inlineStr">
        <is>
          <t>Día 6</t>
        </is>
      </c>
      <c r="I35" s="17" t="inlineStr">
        <is>
          <t>Día 7</t>
        </is>
      </c>
    </row>
    <row r="36">
      <c r="B36" s="18" t="inlineStr">
        <is>
          <t>Fecha</t>
        </is>
      </c>
      <c r="C36" s="78">
        <f>Supuestos!$C$14+0</f>
        <v/>
      </c>
      <c r="D36" s="78">
        <f>Supuestos!$C$14+1</f>
        <v/>
      </c>
      <c r="E36" s="78">
        <f>Supuestos!$C$14+2</f>
        <v/>
      </c>
      <c r="F36" s="78">
        <f>Supuestos!$C$14+3</f>
        <v/>
      </c>
      <c r="G36" s="78">
        <f>Supuestos!$C$14+4</f>
        <v/>
      </c>
      <c r="H36" s="78">
        <f>Supuestos!$C$14+5</f>
        <v/>
      </c>
      <c r="I36" s="78">
        <f>Supuestos!$C$14+6</f>
        <v/>
      </c>
    </row>
    <row r="37">
      <c r="B37" s="18" t="inlineStr">
        <is>
          <t>% de la inversión</t>
        </is>
      </c>
      <c r="C37" s="52" t="n">
        <v>0.17</v>
      </c>
      <c r="D37" s="52" t="n">
        <v>0.17</v>
      </c>
      <c r="E37" s="52" t="n">
        <v>0.16</v>
      </c>
      <c r="F37" s="52" t="n">
        <v>0.15</v>
      </c>
      <c r="G37" s="52" t="n">
        <v>0.13</v>
      </c>
      <c r="H37" s="52" t="n">
        <v>0.11</v>
      </c>
      <c r="I37" s="52" t="n">
        <v>0.11</v>
      </c>
    </row>
    <row r="38" ht="20" customHeight="1">
      <c r="B38" s="31" t="inlineStr">
        <is>
          <t>Control (debe dar 100 %)</t>
        </is>
      </c>
      <c r="C38" s="33">
        <f>SUM(C37:I37)</f>
        <v/>
      </c>
      <c r="D38" s="40" t="n"/>
      <c r="E38" s="40" t="n"/>
      <c r="F38" s="40" t="n"/>
      <c r="G38" s="40" t="n"/>
      <c r="H38" s="40" t="n"/>
      <c r="I38" s="40" t="n"/>
    </row>
    <row r="39">
      <c r="B39" s="3" t="inlineStr">
        <is>
          <t>Curva tomada del BGT Diario 2025. Si la semana cambia de largo, ajustar los días y que el control dé 100 %.</t>
        </is>
      </c>
    </row>
  </sheetData>
  <conditionalFormatting sqref="E19:E23">
    <cfRule type="dataBar" priority="1">
      <dataBar>
        <cfvo type="num" val="0"/>
        <cfvo type="num" val="1"/>
        <color rgb="0059D7A2"/>
      </dataBar>
    </cfRule>
  </conditionalFormatting>
  <conditionalFormatting sqref="E28:E31">
    <cfRule type="cellIs" priority="2" operator="lessThan" dxfId="2">
      <formula>0.8</formula>
    </cfRule>
    <cfRule type="cellIs" priority="3" operator="greaterThanOrEqual" dxfId="3">
      <formula>0.8</formula>
    </cfRule>
  </conditionalFormatting>
  <pageMargins left="0.75" right="0.75" top="1" bottom="1" header="0.5" footer="0.5"/>
  <pageSetup orientation="landscape" fitToHeight="0" fitToWidth="1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2026-10-09T14:18:11Z</dcterms:created>
  <dcterms:modified xmlns:dcterms="http://purl.org/dc/terms/" xmlns:xsi="http://www.w3.org/2001/XMLSchema-instance" xsi:type="dcterms:W3CDTF">2026-10-09T14:18:11Z</dcterms:modified>
</cp:coreProperties>
</file>